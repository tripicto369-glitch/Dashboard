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Сводка" sheetId="1" r:id="rId1"/>
    <sheet name="СИКН" sheetId="2" r:id="rId2"/>
    <sheet name="Тренды" sheetId="3" r:id="rId3"/>
    <sheet name="Тревоги" sheetId="4" r:id="rId4"/>
    <sheet name="Отчеты" sheetId="5" r:id="rId5"/>
    <sheet name="Настройки" sheetId="6" r:id="rId6"/>
    <sheet name="БД" sheetId="7" r:id="rId7"/>
    <sheet name="Расчет" sheetId="8" state="hidden" r:id="rId8"/>
  </sheets>
  <definedNames>
    <definedName name="c_AvgVal">'Расчет'!$B$25</definedName>
    <definedName name="c_CntGreen">'Расчет'!$B$18</definedName>
    <definedName name="c_CntNoData">'Расчет'!$B$22</definedName>
    <definedName name="c_CntOver">'Расчет'!$B$21</definedName>
    <definedName name="c_CntRed">'Расчет'!$B$20</definedName>
    <definedName name="c_CntValued">'Расчет'!$B$17</definedName>
    <definedName name="c_CntYellow">'Расчет'!$B$19</definedName>
    <definedName name="c_DataDate">'Расчет'!$B$16</definedName>
    <definedName name="c_DefMonth">'Расчет'!$B$8</definedName>
    <definedName name="c_FirstDate">'Расчет'!$B$3</definedName>
    <definedName name="c_FirstMonth">'Расчет'!$B$6</definedName>
    <definedName name="c_Footer">'Расчет'!$B$35</definedName>
    <definedName name="c_IsCurrent">'Расчет'!$B$11</definedName>
    <definedName name="c_LastDate">'Расчет'!$B$4</definedName>
    <definedName name="c_LastMaxDate">'Расчет'!$B$34</definedName>
    <definedName name="c_LastMonth">'Расчет'!$B$5</definedName>
    <definedName name="c_LegG">'Расчет'!$F$2</definedName>
    <definedName name="c_LegR">'Расчет'!$F$4</definedName>
    <definedName name="c_LegY">'Расчет'!$F$3</definedName>
    <definedName name="c_LowDate">'Расчет'!$B$13</definedName>
    <definedName name="c_MaxName">'Расчет'!$B$24</definedName>
    <definedName name="c_MaxVal">'Расчет'!$B$23</definedName>
    <definedName name="c_MonthCount">'Расчет'!$B$33</definedName>
    <definedName name="c_MonthEnd">'Расчет'!$B$10</definedName>
    <definedName name="c_MonthLabel">'Расчет'!$B$14</definedName>
    <definedName name="c_MonthStart">'Расчет'!$B$9</definedName>
    <definedName name="c_ObjCount">'Расчет'!$B$15</definedName>
    <definedName name="c_RefDate">'Расчет'!$B$12</definedName>
    <definedName name="c_SelIdx">'Расчет'!$B$7</definedName>
    <definedName name="c_StaleCount">'Расчет'!$B$36</definedName>
    <definedName name="c_State">'Расчет'!$B$26</definedName>
    <definedName name="c_StateSub">'Расчет'!$B$28</definedName>
    <definedName name="c_StateText">'Расчет'!$B$27</definedName>
    <definedName name="c_Today">'Расчет'!$B$2</definedName>
    <definedName name="c_Total">'Расчет'!$E$7</definedName>
    <definedName name="c_ZoneG">'Расчет'!$B$29</definedName>
    <definedName name="c_ZoneR">'Расчет'!$B$31</definedName>
    <definedName name="c_ZoneX">'Расчет'!$B$32</definedName>
    <definedName name="c_ZoneY">'Расчет'!$B$30</definedName>
    <definedName name="cfg_Green">'Настройки'!$S$17</definedName>
    <definedName name="cfg_Limit">'Настройки'!$S$28</definedName>
    <definedName name="cfg_Role">'Настройки'!$AF$28</definedName>
    <definedName name="cfg_Subtitle">'Настройки'!$AF$23</definedName>
    <definedName name="cfg_Title">'Настройки'!$AF$17</definedName>
    <definedName name="cfg_Yellow">'Настройки'!$S$23</definedName>
    <definedName name="db_Dates">'БД'!$A$3:INDEX('БД'!$A$3:$A$3702,db_N)</definedName>
    <definedName name="db_Groups">'БД'!$B$2:$AO$2</definedName>
    <definedName name="db_N">MAX(1,IFERROR(MATCH(9.99E+307,'БД'!$A$3:$A$3702),0))</definedName>
    <definedName name="db_Names">'БД'!$B$1:$AO$1</definedName>
    <definedName name="db_Vals">'БД'!$B$3:INDEX('БД'!$B$3:$AO$3702,db_N,40)</definedName>
    <definedName name="log_C1">'Настройки'!$J$60</definedName>
    <definedName name="log_C2">'Настройки'!$P$60</definedName>
    <definedName name="log_C3">'Настройки'!$T$60</definedName>
    <definedName name="log_C4">'Настройки'!$Z$60</definedName>
    <definedName name="log_C5">'Настройки'!$AD$60</definedName>
    <definedName name="log_C6">'Настройки'!$AE$60</definedName>
    <definedName name="log_C7">'Настройки'!$AG$60</definedName>
    <definedName name="log_C8">'Настройки'!$AL$60</definedName>
    <definedName name="log_C9">'Настройки'!$AO$60</definedName>
    <definedName name="lst_Months">OFFSET('Расчет'!$C$142,0,0,MAX(1,c_MonthCount),1)</definedName>
    <definedName name="m_Labels">'Расчет'!$C$142:$C$265</definedName>
    <definedName name="m_Starts">'Расчет'!$B$142:$B$265</definedName>
    <definedName name="_xlnm.Print_Area" localSheetId="5">Настройки!$A$1:$AT$115</definedName>
    <definedName name="_xlnm.Print_Area" localSheetId="4">Отчеты!$A$1:$Z$38</definedName>
    <definedName name="_xlnm.Print_Area" localSheetId="0">Сводка!$A$1:$CG$112</definedName>
    <definedName name="_xlnm.Print_Area" localSheetId="1">СИКН!$A$1:$Z$38</definedName>
    <definedName name="_xlnm.Print_Area" localSheetId="3">Тревоги!$A$1:$Z$38</definedName>
    <definedName name="_xlnm.Print_Area" localSheetId="2">Тренды!$A$1:$Z$38</definedName>
    <definedName name="sel_Month">'Сводка'!$M$13</definedName>
    <definedName name="sys_LastFile">'Настройки'!$Q$46</definedName>
    <definedName name="sys_LastImport">'Настройки'!$Q$43</definedName>
    <definedName name="sys_LastMode">'Настройки'!$Q$49</definedName>
    <definedName name="ui_Canvas">'Сводка'!$A$1:$CG$112</definedName>
    <definedName name="ui_MonthArrow">'Сводка'!$R$13</definedName>
    <definedName name="ui_Upd_shAlarm">'Тревоги'!$R$8</definedName>
    <definedName name="ui_Upd_shDash">'Сводка'!$BH$8</definedName>
    <definedName name="ui_Upd_shObj">'СИКН'!$R$8</definedName>
    <definedName name="ui_Upd_shReport">'Отчеты'!$R$8</definedName>
    <definedName name="ui_Upd_shSettings">'Настройки'!$AK$8</definedName>
    <definedName name="ui_Upd_shTrend">'Тренды'!$R$8</definedName>
  </definedName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A1" authorId="0">
      <text>
        <r>
          <rPr>
            <sz val="8"/>
            <color indexed="81"/>
            <rFont val="Tahoma"/>
            <family val="2"/>
          </rPr>
          <t>База данных дашборда. Заполняется кнопкой «Импорт данных» (строка 1 — объекты, строка 2 — вид продукции, далее — по строке на день). Ручное редактирование не требуется.</t>
        </r>
      </text>
    </comment>
  </commentList>
</comments>
</file>

<file path=xl/sharedStrings.xml><?xml version="1.0" encoding="utf-8"?>
<sst xmlns="http://schemas.openxmlformats.org/spreadsheetml/2006/main" count="213" uniqueCount="141">
  <si>
    <t>Служебный лист расчетов дашборда (формулы, не редактировать)</t>
  </si>
  <si>
    <t>Сегодня</t>
  </si>
  <si>
    <t>Первая дата в базе</t>
  </si>
  <si>
    <t>Последняя дата в базе</t>
  </si>
  <si>
    <t>Последний месяц</t>
  </si>
  <si>
    <t>Первый месяц</t>
  </si>
  <si>
    <t>Индекс выбранного месяца</t>
  </si>
  <si>
    <t>Месяц по умолчанию</t>
  </si>
  <si>
    <t>Начало выбранного месяца</t>
  </si>
  <si>
    <t>Конец выбранного месяца</t>
  </si>
  <si>
    <t>Выбран текущий месяц</t>
  </si>
  <si>
    <t>Дата отчета</t>
  </si>
  <si>
    <t>Нижняя граница поиска значения</t>
  </si>
  <si>
    <t>Подпись месяца</t>
  </si>
  <si>
    <t>Объектов</t>
  </si>
  <si>
    <t>Дата данных</t>
  </si>
  <si>
    <t>Объектов со значением</t>
  </si>
  <si>
    <t>Зеленая зона</t>
  </si>
  <si>
    <t>Желтая зона</t>
  </si>
  <si>
    <t>Красная зона</t>
  </si>
  <si>
    <t>Выше норматива</t>
  </si>
  <si>
    <t>Нет данных</t>
  </si>
  <si>
    <t>Максимум</t>
  </si>
  <si>
    <t>Объект с максимумом</t>
  </si>
  <si>
    <t>Среднее</t>
  </si>
  <si>
    <t>Состояние (0-4)</t>
  </si>
  <si>
    <t>Состояние, текст</t>
  </si>
  <si>
    <t>Состояние, пояснение</t>
  </si>
  <si>
    <t>Подпись зеленой зоны</t>
  </si>
  <si>
    <t>Подпись желтой зоны</t>
  </si>
  <si>
    <t>Подпись красной зоны</t>
  </si>
  <si>
    <t>Подпись превышения</t>
  </si>
  <si>
    <t>Месяцев в списке</t>
  </si>
  <si>
    <t>Последний день с максимумом</t>
  </si>
  <si>
    <t>Строка состояния</t>
  </si>
  <si>
    <t>Значений за более раннюю дату</t>
  </si>
  <si>
    <t>Зона</t>
  </si>
  <si>
    <t>Кол-во</t>
  </si>
  <si>
    <t>Подпись</t>
  </si>
  <si>
    <t>Зеленая</t>
  </si>
  <si>
    <t>Желтая</t>
  </si>
  <si>
    <t>Красная</t>
  </si>
  <si>
    <t>Всего</t>
  </si>
  <si>
    <t>№</t>
  </si>
  <si>
    <t>Объект</t>
  </si>
  <si>
    <t>Вид продукции</t>
  </si>
  <si>
    <t>Дата значения</t>
  </si>
  <si>
    <t>Значение</t>
  </si>
  <si>
    <t>Пред. дата</t>
  </si>
  <si>
    <t>Пред. значение</t>
  </si>
  <si>
    <t>Изменение</t>
  </si>
  <si>
    <t>Ключ сортировки</t>
  </si>
  <si>
    <t>Ранняя дата</t>
  </si>
  <si>
    <t>Место</t>
  </si>
  <si>
    <t>№ объекта</t>
  </si>
  <si>
    <t>День</t>
  </si>
  <si>
    <t>Дата</t>
  </si>
  <si>
    <t>Максимум за день</t>
  </si>
  <si>
    <t>Норматив</t>
  </si>
  <si>
    <t>Граница желтой зоны</t>
  </si>
  <si>
    <t>Граница зеленой зоны</t>
  </si>
  <si>
    <t>Последняя точка</t>
  </si>
  <si>
    <t>Подпись дня</t>
  </si>
  <si>
    <t>Месяцы с данными</t>
  </si>
  <si>
    <t>Дата \ Объект</t>
  </si>
  <si>
    <r>
      <rPr>
        <b/>
        <sz val="17"/>
        <color rgb="FFE2231A"/>
        <rFont val="Segoe UI"/>
        <family val="2"/>
      </rPr>
      <t>TAT</t>
    </r>
    <r>
      <rPr>
        <b/>
        <sz val="17"/>
        <color rgb="FF2FA84F"/>
        <rFont val="Segoe UI"/>
        <family val="2"/>
      </rPr>
      <t>NEFT</t>
    </r>
  </si>
  <si>
    <t>●</t>
  </si>
  <si>
    <t>СВОДКА</t>
  </si>
  <si>
    <t>СИКН</t>
  </si>
  <si>
    <t>ТРЕНДЫ</t>
  </si>
  <si>
    <t>ТРЕВОГИ</t>
  </si>
  <si>
    <t>ОТЧЕТЫ</t>
  </si>
  <si>
    <t>НАСТРОЙКИ</t>
  </si>
  <si>
    <t>ПЕРИОД:</t>
  </si>
  <si>
    <t>▼</t>
  </si>
  <si>
    <t>ДАННЫЕ НА:</t>
  </si>
  <si>
    <t>ЗАГРУЖЕНО:</t>
  </si>
  <si>
    <t>ФАЙЛ:</t>
  </si>
  <si>
    <t>ОБЩЕЕ СОСТОЯНИЕ</t>
  </si>
  <si>
    <t>МАКСИМАЛЬНОЕ ЗНАЧЕНИЕ</t>
  </si>
  <si>
    <t>СРЕДНЕЕ ЗНАЧЕНИЕ</t>
  </si>
  <si>
    <t>КОЛИЧЕСТВО СИКН</t>
  </si>
  <si>
    <t>ЗЕЛЕНАЯ ЗОНА</t>
  </si>
  <si>
    <t>ЖЕЛТАЯ ЗОНА</t>
  </si>
  <si>
    <t>КРАСНАЯ ЗОНА</t>
  </si>
  <si>
    <t>ВСЕГО СИКН</t>
  </si>
  <si>
    <t>ЗНАЧЕНИЕ, ppm</t>
  </si>
  <si>
    <t>СТАТУС</t>
  </si>
  <si>
    <t>ЗОНА</t>
  </si>
  <si>
    <t>ИЗМЕНЕНИЕ (24ч)</t>
  </si>
  <si>
    <t>ТРЕНД</t>
  </si>
  <si>
    <t>НОРМАТИВ И ЗОНЫ</t>
  </si>
  <si>
    <t>ПРЕДЕЛЬНОЕ ЗНАЧЕНИЕ</t>
  </si>
  <si>
    <t>Повышенный риск</t>
  </si>
  <si>
    <t>Внимание</t>
  </si>
  <si>
    <t>Норма</t>
  </si>
  <si>
    <t>Все значения указаны в ppm</t>
  </si>
  <si>
    <t>РАСПРЕДЕЛЕНИЕ ПО ЗОНАМ</t>
  </si>
  <si>
    <t>ВСЕГО</t>
  </si>
  <si>
    <t>■</t>
  </si>
  <si>
    <t>ДИНАМИКА МАКСИМАЛЬНОГО ЗНАЧЕНИЯ</t>
  </si>
  <si>
    <t>Доступ:</t>
  </si>
  <si>
    <t>СИКН — карточки объектов</t>
  </si>
  <si>
    <t>Раздел в разработке</t>
  </si>
  <si>
    <t>Здесь будут карточки СИКН: история значений, статистика по объекту, вид продукции.</t>
  </si>
  <si>
    <t>← К СВОДКЕ</t>
  </si>
  <si>
    <t>Тренды</t>
  </si>
  <si>
    <t>Здесь будут графики содержания ЛХОС по выбранным СИКН за произвольный период.</t>
  </si>
  <si>
    <t>Тревоги</t>
  </si>
  <si>
    <t>Здесь будет журнал выходов за границы зон и превышений норматива.</t>
  </si>
  <si>
    <t>Отчеты</t>
  </si>
  <si>
    <t>Здесь будут печатные формы и выгрузки (месячный и годовой свод).</t>
  </si>
  <si>
    <t>ПОРОГОВЫЕ ЗНАЧЕНИЯ, ppm</t>
  </si>
  <si>
    <t>Зеленая зона — до (включительно)</t>
  </si>
  <si>
    <t>ppm</t>
  </si>
  <si>
    <t>Желтая зона — до (включительно)</t>
  </si>
  <si>
    <t>Норматив (предельное значение)</t>
  </si>
  <si>
    <t>Красная зона — значения выше границы желтой зоны. Значения выше норматива получают статус «ПРЕВЫШЕНИЕ». Изменения сразу применяются на сводке.</t>
  </si>
  <si>
    <t>ОФОРМЛЕНИЕ</t>
  </si>
  <si>
    <t>Заголовок</t>
  </si>
  <si>
    <t>СОДЕРЖАНИЕ ЛЕГКОЛЕТУЧИХ ХЛОРОРГАНИЧЕСКИХ СОЕДИНЕНИЙ ПО СИКН</t>
  </si>
  <si>
    <t>Подзаголовок</t>
  </si>
  <si>
    <t>ОПЕРАТИВНАЯ СВОДКА</t>
  </si>
  <si>
    <t>Доступ (роль)</t>
  </si>
  <si>
    <t>ДИСПЕТЧЕР</t>
  </si>
  <si>
    <t>ДАННЫЕ</t>
  </si>
  <si>
    <t>Последняя загрузка</t>
  </si>
  <si>
    <t>Файл</t>
  </si>
  <si>
    <t>Режим загрузки</t>
  </si>
  <si>
    <t>Объектов в базе</t>
  </si>
  <si>
    <t>Значений в базе</t>
  </si>
  <si>
    <t>Период данных</t>
  </si>
  <si>
    <t>Первый импорт заполняет базу. При следующих импортах программа спросит: загрузить все данные заново (старые удаляются) или добавить только новые значения. Для работы кнопок разрешите макросы.</t>
  </si>
  <si>
    <t>ЖУРНАЛ ЗАГРУЗОК</t>
  </si>
  <si>
    <t>Дата и время</t>
  </si>
  <si>
    <t>Режим</t>
  </si>
  <si>
    <t>В файле</t>
  </si>
  <si>
    <t>Добавлено</t>
  </si>
  <si>
    <t>Совпало</t>
  </si>
  <si>
    <t>Отличаются</t>
  </si>
  <si>
    <t>Период в базе</t>
  </si>
</sst>
</file>

<file path=xl/styles.xml><?xml version="1.0" encoding="utf-8"?>
<styleSheet xmlns="http://schemas.openxmlformats.org/spreadsheetml/2006/main">
  <numFmts count="9">
    <numFmt numFmtId="164" formatCode="dd.mm.yyyy"/>
    <numFmt numFmtId="165" formatCode="@"/>
    <numFmt numFmtId="166" formatCode="dd.mm.yyyy hh:mm"/>
    <numFmt numFmtId="167" formatCode="0.0#"/>
    <numFmt numFmtId="168" formatCode="&quot;≤ &quot;0.0#&quot; ppm&quot;"/>
    <numFmt numFmtId="169" formatCode="0.0?_*"/>
    <numFmt numFmtId="170" formatCode="+0.0?;-0.0?;0.0?"/>
    <numFmt numFmtId="171" formatCode="#,##0"/>
    <numFmt numFmtId="172" formatCode="dd.mm"/>
  </numFmts>
  <fonts count="59">
    <font>
      <sz val="11"/>
      <color theme="1"/>
      <name val="Calibri"/>
      <family val="2"/>
      <scheme val="minor"/>
    </font>
    <font>
      <sz val="10"/>
      <color rgb="FFE4EBEF"/>
      <name val="Segoe UI"/>
      <family val="2"/>
    </font>
    <font>
      <sz val="20"/>
      <color rgb="FFE4EBEF"/>
      <name val="Segoe UI Semibold"/>
      <family val="2"/>
    </font>
    <font>
      <sz val="16"/>
      <color rgb="FFE4EBEF"/>
      <name val="Segoe UI Semibold"/>
      <family val="2"/>
    </font>
    <font>
      <b/>
      <sz val="17"/>
      <color rgb="FFE4EBEF"/>
      <name val="Segoe UI"/>
      <family val="2"/>
    </font>
    <font>
      <sz val="10"/>
      <color rgb="FF4FBF7A"/>
      <name val="Segoe UI Semibold"/>
      <family val="2"/>
    </font>
    <font>
      <sz val="9"/>
      <color rgb="FF8C9DA7"/>
      <name val="Segoe UI"/>
      <family val="2"/>
    </font>
    <font>
      <sz val="9"/>
      <color rgb="FF5D707B"/>
      <name val="Segoe UI"/>
      <family val="2"/>
    </font>
    <font>
      <sz val="8.5"/>
      <color rgb="FF8C9DA7"/>
      <name val="Segoe UI Semibold"/>
      <family val="2"/>
    </font>
    <font>
      <sz val="11"/>
      <color rgb="FFE4EBEF"/>
      <name val="Segoe UI Semibold"/>
      <family val="2"/>
    </font>
    <font>
      <sz val="8"/>
      <color rgb="FF8C9DA7"/>
      <name val="Segoe UI"/>
      <family val="2"/>
    </font>
    <font>
      <sz val="9"/>
      <color rgb="FFB9C6CD"/>
      <name val="Segoe UI"/>
      <family val="2"/>
    </font>
    <font>
      <sz val="8.5"/>
      <color rgb="FFB9C6CD"/>
      <name val="Segoe UI Semibold"/>
      <family val="2"/>
    </font>
    <font>
      <sz val="8.5"/>
      <color rgb="FFE4EBEF"/>
      <name val="Segoe UI Semibold"/>
      <family val="2"/>
    </font>
    <font>
      <sz val="24"/>
      <color rgb="FFE4EBEF"/>
      <name val="Segoe UI"/>
      <family val="2"/>
    </font>
    <font>
      <sz val="11"/>
      <color rgb="FFB9C6CD"/>
      <name val="Segoe UI"/>
      <family val="2"/>
    </font>
    <font>
      <sz val="20"/>
      <color rgb="FFE4EBEF"/>
      <name val="Segoe UI"/>
      <family val="2"/>
    </font>
    <font>
      <sz val="16"/>
      <color rgb="FF4CC35A"/>
      <name val="Segoe UI Semibold"/>
      <family val="2"/>
    </font>
    <font>
      <sz val="8"/>
      <color rgb="FF4CC35A"/>
      <name val="Segoe UI Semibold"/>
      <family val="2"/>
    </font>
    <font>
      <sz val="8"/>
      <color rgb="FFF5B70F"/>
      <name val="Segoe UI Semibold"/>
      <family val="2"/>
    </font>
    <font>
      <sz val="8"/>
      <color rgb="FFF04B46"/>
      <name val="Segoe UI Semibold"/>
      <family val="2"/>
    </font>
    <font>
      <sz val="22"/>
      <color rgb="FF4CC35A"/>
      <name val="Segoe UI"/>
      <family val="2"/>
    </font>
    <font>
      <sz val="22"/>
      <color rgb="FFF5B70F"/>
      <name val="Segoe UI"/>
      <family val="2"/>
    </font>
    <font>
      <sz val="22"/>
      <color rgb="FFF04B46"/>
      <name val="Segoe UI"/>
      <family val="2"/>
    </font>
    <font>
      <sz val="8.5"/>
      <color rgb="FFB9C6CD"/>
      <name val="Segoe UI"/>
      <family val="2"/>
    </font>
    <font>
      <sz val="10"/>
      <color rgb="FFB9C6CD"/>
      <name val="Segoe UI Semibold"/>
      <family val="2"/>
    </font>
    <font>
      <sz val="8"/>
      <color rgb="FF8C9DA7"/>
      <name val="Segoe UI Semibold"/>
      <family val="2"/>
    </font>
    <font>
      <sz val="13"/>
      <color rgb="FFE4EBEF"/>
      <name val="Segoe UI Semibold"/>
      <family val="2"/>
    </font>
    <font>
      <sz val="8"/>
      <color rgb="FFB9C6CD"/>
      <name val="Segoe UI Semibold"/>
      <family val="2"/>
    </font>
    <font>
      <sz val="9.5"/>
      <color rgb="FFE4EBEF"/>
      <name val="Segoe UI"/>
      <family val="2"/>
    </font>
    <font>
      <sz val="10"/>
      <color rgb="FF4CC35A"/>
      <name val="Segoe UI Semibold"/>
      <family val="2"/>
    </font>
    <font>
      <sz val="8.5"/>
      <color rgb="FF4CC35A"/>
      <name val="Segoe UI Semibold"/>
      <family val="2"/>
    </font>
    <font>
      <sz val="9"/>
      <color rgb="FF4CC35A"/>
      <name val="Segoe UI"/>
      <family val="2"/>
    </font>
    <font>
      <b/>
      <sz val="10"/>
      <color rgb="FFB9C6CD"/>
      <name val="Segoe UI"/>
      <family val="2"/>
    </font>
    <font>
      <sz val="8.5"/>
      <color rgb="FF8C9DA7"/>
      <name val="Segoe UI"/>
      <family val="2"/>
    </font>
    <font>
      <sz val="11"/>
      <color rgb="FFF04B46"/>
      <name val="Segoe UI Semibold"/>
      <family val="2"/>
    </font>
    <font>
      <sz val="8.5"/>
      <color rgb="FFE4EBEF"/>
      <name val="Segoe UI"/>
      <family val="2"/>
    </font>
    <font>
      <sz val="11"/>
      <color rgb="FFF5B70F"/>
      <name val="Segoe UI Semibold"/>
      <family val="2"/>
    </font>
    <font>
      <sz val="11"/>
      <color rgb="FF4CC35A"/>
      <name val="Segoe UI Semibold"/>
      <family val="2"/>
    </font>
    <font>
      <sz val="7.5"/>
      <color rgb="FF8C9DA7"/>
      <name val="Segoe UI"/>
      <family val="2"/>
    </font>
    <font>
      <sz val="11"/>
      <color rgb="FF49B649"/>
      <name val="Segoe UI"/>
      <family val="2"/>
    </font>
    <font>
      <sz val="9"/>
      <color rgb="FFE4EBEF"/>
      <name val="Segoe UI"/>
      <family val="2"/>
    </font>
    <font>
      <sz val="11"/>
      <color rgb="FFF9AE0A"/>
      <name val="Segoe UI"/>
      <family val="2"/>
    </font>
    <font>
      <sz val="7"/>
      <color rgb="FF8C9DA7"/>
      <name val="Segoe UI Semibold"/>
      <family val="2"/>
    </font>
    <font>
      <sz val="11"/>
      <color rgb="FFDF1F1E"/>
      <name val="Segoe UI"/>
      <family val="2"/>
    </font>
    <font>
      <sz val="9.5"/>
      <color rgb="FF4CC35A"/>
      <name val="Segoe UI Semibold"/>
      <family val="2"/>
    </font>
    <font>
      <sz val="9"/>
      <color rgb="FFE4EBEF"/>
      <name val="Segoe UI Semibold"/>
      <family val="2"/>
    </font>
    <font>
      <sz val="14"/>
      <color rgb="FFE4EBEF"/>
      <name val="Segoe UI Semibold"/>
      <family val="2"/>
    </font>
    <font>
      <sz val="10"/>
      <color rgb="FF8C9DA7"/>
      <name val="Segoe UI"/>
      <family val="2"/>
    </font>
    <font>
      <sz val="10"/>
      <color rgb="FF4CC35A"/>
      <name val="Segoe UI"/>
      <family val="2"/>
    </font>
    <font>
      <sz val="9.5"/>
      <color rgb="FFB9C6CD"/>
      <name val="Segoe UI"/>
      <family val="2"/>
    </font>
    <font>
      <sz val="10.5"/>
      <color rgb="FFE4EBEF"/>
      <name val="Segoe UI Semibold"/>
      <family val="2"/>
    </font>
    <font>
      <sz val="9.5"/>
      <color rgb="FFE4EBEF"/>
      <name val="Segoe UI Semibold"/>
      <family val="2"/>
    </font>
    <font>
      <sz val="10"/>
      <color rgb="FFF5B70F"/>
      <name val="Segoe UI"/>
      <family val="2"/>
    </font>
    <font>
      <sz val="10"/>
      <color rgb="FFF04B46"/>
      <name val="Segoe UI"/>
      <family val="2"/>
    </font>
    <font>
      <sz val="9"/>
      <color theme="1"/>
      <name val="Segoe UI"/>
      <family val="2"/>
    </font>
    <font>
      <b/>
      <sz val="9"/>
      <color rgb="FFE4EBEF"/>
      <name val="Segoe UI"/>
      <family val="2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04121A"/>
        <bgColor indexed="64"/>
      </patternFill>
    </fill>
    <fill>
      <patternFill patternType="solid">
        <fgColor rgb="FF020B11"/>
        <bgColor indexed="64"/>
      </patternFill>
    </fill>
    <fill>
      <patternFill patternType="solid">
        <fgColor rgb="FF071923"/>
        <bgColor indexed="64"/>
      </patternFill>
    </fill>
    <fill>
      <patternFill patternType="solid">
        <fgColor rgb="FF0F2733"/>
        <bgColor indexed="64"/>
      </patternFill>
    </fill>
    <fill>
      <patternFill patternType="solid">
        <fgColor rgb="FF15323F"/>
        <bgColor indexed="64"/>
      </patternFill>
    </fill>
    <fill>
      <patternFill patternType="solid">
        <fgColor rgb="FF0A1D26"/>
        <bgColor indexed="64"/>
      </patternFill>
    </fill>
    <fill>
      <patternFill patternType="solid">
        <fgColor rgb="FF0E2530"/>
        <bgColor indexed="64"/>
      </patternFill>
    </fill>
    <fill>
      <patternFill patternType="solid">
        <fgColor rgb="FFDF1F1E"/>
        <bgColor indexed="64"/>
      </patternFill>
    </fill>
    <fill>
      <patternFill patternType="solid">
        <fgColor rgb="FFF9AE0A"/>
        <bgColor indexed="64"/>
      </patternFill>
    </fill>
    <fill>
      <patternFill patternType="solid">
        <fgColor rgb="FF49B649"/>
        <bgColor indexed="64"/>
      </patternFill>
    </fill>
    <fill>
      <patternFill patternType="solid">
        <fgColor rgb="FF061822"/>
        <bgColor indexed="64"/>
      </patternFill>
    </fill>
  </fills>
  <borders count="26">
    <border>
      <left/>
      <right/>
      <top/>
      <bottom/>
      <diagonal/>
    </border>
    <border>
      <left style="thin">
        <color rgb="FF1E3A47"/>
      </left>
      <right/>
      <top/>
      <bottom/>
      <diagonal/>
    </border>
    <border>
      <left/>
      <right/>
      <top/>
      <bottom style="thin">
        <color rgb="FF1E3A47"/>
      </bottom>
      <diagonal/>
    </border>
    <border>
      <left style="thin">
        <color rgb="FF1B3340"/>
      </left>
      <right/>
      <top style="thin">
        <color rgb="FF1B3340"/>
      </top>
      <bottom/>
      <diagonal/>
    </border>
    <border>
      <left/>
      <right/>
      <top style="thin">
        <color rgb="FF1B3340"/>
      </top>
      <bottom/>
      <diagonal/>
    </border>
    <border>
      <left/>
      <right style="thin">
        <color rgb="FF1B3340"/>
      </right>
      <top style="thin">
        <color rgb="FF1B3340"/>
      </top>
      <bottom/>
      <diagonal/>
    </border>
    <border>
      <left style="thin">
        <color rgb="FF1E3A47"/>
      </left>
      <right/>
      <top style="thin">
        <color rgb="FF1E3A47"/>
      </top>
      <bottom style="thin">
        <color rgb="FF1E3A47"/>
      </bottom>
      <diagonal/>
    </border>
    <border>
      <left/>
      <right style="thin">
        <color rgb="FF1E3A47"/>
      </right>
      <top style="thin">
        <color rgb="FF1E3A47"/>
      </top>
      <bottom style="thin">
        <color rgb="FF1E3A47"/>
      </bottom>
      <diagonal/>
    </border>
    <border>
      <left style="thin">
        <color rgb="FF1B3340"/>
      </left>
      <right/>
      <top/>
      <bottom/>
      <diagonal/>
    </border>
    <border>
      <left style="thin">
        <color rgb="FF1E3A47"/>
      </left>
      <right/>
      <top style="thin">
        <color rgb="FF1E3A47"/>
      </top>
      <bottom/>
      <diagonal/>
    </border>
    <border>
      <left/>
      <right/>
      <top style="thin">
        <color rgb="FF1E3A47"/>
      </top>
      <bottom/>
      <diagonal/>
    </border>
    <border>
      <left/>
      <right style="thin">
        <color rgb="FF1E3A47"/>
      </right>
      <top style="thin">
        <color rgb="FF1E3A47"/>
      </top>
      <bottom/>
      <diagonal/>
    </border>
    <border>
      <left/>
      <right style="thin">
        <color rgb="FF1B3340"/>
      </right>
      <top/>
      <bottom/>
      <diagonal/>
    </border>
    <border>
      <left/>
      <right style="thin">
        <color rgb="FF1E3A47"/>
      </right>
      <top/>
      <bottom/>
      <diagonal/>
    </border>
    <border>
      <left style="thin">
        <color rgb="FF1E3A47"/>
      </left>
      <right style="thin">
        <color rgb="FF1E3A47"/>
      </right>
      <top/>
      <bottom/>
      <diagonal/>
    </border>
    <border>
      <left style="thin">
        <color rgb="FF122833"/>
      </left>
      <right/>
      <top/>
      <bottom/>
      <diagonal/>
    </border>
    <border>
      <left style="thin">
        <color rgb="FF1E3A47"/>
      </left>
      <right/>
      <top/>
      <bottom style="thin">
        <color rgb="FF1E3A47"/>
      </bottom>
      <diagonal/>
    </border>
    <border>
      <left/>
      <right style="thin">
        <color rgb="FF1E3A47"/>
      </right>
      <top/>
      <bottom style="thin">
        <color rgb="FF1E3A47"/>
      </bottom>
      <diagonal/>
    </border>
    <border>
      <left/>
      <right/>
      <top/>
      <bottom style="thin">
        <color rgb="FF122833"/>
      </bottom>
      <diagonal/>
    </border>
    <border>
      <left style="thin">
        <color rgb="FF1B3340"/>
      </left>
      <right/>
      <top/>
      <bottom style="thin">
        <color rgb="FF1B3340"/>
      </bottom>
      <diagonal/>
    </border>
    <border>
      <left/>
      <right/>
      <top/>
      <bottom style="thin">
        <color rgb="FF1B3340"/>
      </bottom>
      <diagonal/>
    </border>
    <border>
      <left/>
      <right style="thin">
        <color rgb="FF1B3340"/>
      </right>
      <top/>
      <bottom style="thin">
        <color rgb="FF1B3340"/>
      </bottom>
      <diagonal/>
    </border>
    <border>
      <left style="thin">
        <color rgb="FF122833"/>
      </left>
      <right/>
      <top/>
      <bottom style="thin">
        <color rgb="FF1E3A47"/>
      </bottom>
      <diagonal/>
    </border>
    <border>
      <left style="thin">
        <color rgb="FF122833"/>
      </left>
      <right/>
      <top/>
      <bottom style="thin">
        <color rgb="FF122833"/>
      </bottom>
      <diagonal/>
    </border>
    <border>
      <left style="thin">
        <color rgb="FF1E3A47"/>
      </left>
      <right style="thin">
        <color rgb="FF1E3A47"/>
      </right>
      <top style="thin">
        <color rgb="FF1E3A47"/>
      </top>
      <bottom style="thin">
        <color rgb="FF1E3A47"/>
      </bottom>
      <diagonal/>
    </border>
    <border>
      <left style="thin">
        <color rgb="FF1B3340"/>
      </left>
      <right style="thin">
        <color rgb="FF1B3340"/>
      </right>
      <top style="thin">
        <color rgb="FF1B3340"/>
      </top>
      <bottom style="thin">
        <color rgb="FF1B3340"/>
      </bottom>
      <diagonal/>
    </border>
  </borders>
  <cellStyleXfs count="1">
    <xf numFmtId="0" fontId="0" fillId="0" borderId="0"/>
  </cellStyleXfs>
  <cellXfs count="136">
    <xf numFmtId="0" fontId="0" fillId="0" borderId="0" xfId="0"/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vertical="center"/>
    </xf>
    <xf numFmtId="164" fontId="2" fillId="3" borderId="0" xfId="0" applyNumberFormat="1" applyFont="1" applyFill="1" applyAlignment="1">
      <alignment horizontal="right" vertical="center"/>
    </xf>
    <xf numFmtId="0" fontId="3" fillId="3" borderId="0" xfId="0" applyFont="1" applyFill="1" applyAlignment="1">
      <alignment vertical="center"/>
    </xf>
    <xf numFmtId="0" fontId="1" fillId="3" borderId="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" fillId="3" borderId="2" xfId="0" applyFont="1" applyFill="1" applyBorder="1" applyAlignment="1">
      <alignment vertical="center"/>
    </xf>
    <xf numFmtId="0" fontId="1" fillId="4" borderId="3" xfId="0" applyFont="1" applyFill="1" applyBorder="1" applyAlignment="1">
      <alignment vertical="center"/>
    </xf>
    <xf numFmtId="0" fontId="1" fillId="4" borderId="4" xfId="0" applyFont="1" applyFill="1" applyBorder="1" applyAlignment="1">
      <alignment vertical="center"/>
    </xf>
    <xf numFmtId="0" fontId="1" fillId="4" borderId="5" xfId="0" applyFont="1" applyFill="1" applyBorder="1" applyAlignment="1">
      <alignment vertical="center"/>
    </xf>
    <xf numFmtId="0" fontId="8" fillId="2" borderId="0" xfId="0" applyFont="1" applyFill="1" applyAlignment="1">
      <alignment vertical="center"/>
    </xf>
    <xf numFmtId="165" fontId="9" fillId="5" borderId="6" xfId="0" applyNumberFormat="1" applyFont="1" applyFill="1" applyBorder="1" applyAlignment="1">
      <alignment horizontal="left" vertical="center" indent="1"/>
    </xf>
    <xf numFmtId="0" fontId="10" fillId="5" borderId="7" xfId="0" applyFont="1" applyFill="1" applyBorder="1" applyAlignment="1">
      <alignment horizontal="center" vertical="center"/>
    </xf>
    <xf numFmtId="164" fontId="9" fillId="2" borderId="0" xfId="0" applyNumberFormat="1" applyFont="1" applyFill="1" applyAlignment="1">
      <alignment horizontal="left" vertical="center"/>
    </xf>
    <xf numFmtId="166" fontId="1" fillId="2" borderId="0" xfId="0" applyNumberFormat="1" applyFont="1" applyFill="1" applyAlignment="1">
      <alignment horizontal="left" vertical="center"/>
    </xf>
    <xf numFmtId="0" fontId="11" fillId="2" borderId="0" xfId="0" applyFont="1" applyFill="1" applyAlignment="1">
      <alignment vertical="center"/>
    </xf>
    <xf numFmtId="0" fontId="1" fillId="4" borderId="8" xfId="0" applyFont="1" applyFill="1" applyBorder="1" applyAlignment="1">
      <alignment vertical="center"/>
    </xf>
    <xf numFmtId="0" fontId="1" fillId="6" borderId="9" xfId="0" applyFont="1" applyFill="1" applyBorder="1" applyAlignment="1">
      <alignment vertical="center"/>
    </xf>
    <xf numFmtId="0" fontId="1" fillId="6" borderId="10" xfId="0" applyFont="1" applyFill="1" applyBorder="1" applyAlignment="1">
      <alignment vertical="center"/>
    </xf>
    <xf numFmtId="0" fontId="1" fillId="6" borderId="11" xfId="0" applyFont="1" applyFill="1" applyBorder="1" applyAlignment="1">
      <alignment vertical="center"/>
    </xf>
    <xf numFmtId="0" fontId="1" fillId="4" borderId="12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1" fillId="6" borderId="0" xfId="0" applyFont="1" applyFill="1" applyAlignment="1">
      <alignment vertical="center"/>
    </xf>
    <xf numFmtId="0" fontId="1" fillId="6" borderId="13" xfId="0" applyFont="1" applyFill="1" applyBorder="1" applyAlignment="1">
      <alignment vertical="center"/>
    </xf>
    <xf numFmtId="0" fontId="1" fillId="7" borderId="3" xfId="0" applyFont="1" applyFill="1" applyBorder="1" applyAlignment="1">
      <alignment vertical="center"/>
    </xf>
    <xf numFmtId="0" fontId="1" fillId="7" borderId="4" xfId="0" applyFont="1" applyFill="1" applyBorder="1" applyAlignment="1">
      <alignment vertical="center"/>
    </xf>
    <xf numFmtId="0" fontId="1" fillId="7" borderId="5" xfId="0" applyFont="1" applyFill="1" applyBorder="1" applyAlignment="1">
      <alignment vertical="center"/>
    </xf>
    <xf numFmtId="0" fontId="1" fillId="7" borderId="8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" fillId="7" borderId="0" xfId="0" applyFont="1" applyFill="1" applyAlignment="1">
      <alignment vertical="center"/>
    </xf>
    <xf numFmtId="0" fontId="1" fillId="7" borderId="12" xfId="0" applyFont="1" applyFill="1" applyBorder="1" applyAlignment="1">
      <alignment vertical="center"/>
    </xf>
    <xf numFmtId="0" fontId="13" fillId="6" borderId="14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vertical="center"/>
    </xf>
    <xf numFmtId="167" fontId="14" fillId="7" borderId="0" xfId="0" applyNumberFormat="1" applyFont="1" applyFill="1" applyAlignment="1">
      <alignment horizontal="right" shrinkToFit="1"/>
    </xf>
    <xf numFmtId="0" fontId="15" fillId="7" borderId="0" xfId="0" applyFont="1" applyFill="1" applyAlignment="1">
      <alignment indent="1"/>
    </xf>
    <xf numFmtId="1" fontId="16" fillId="7" borderId="0" xfId="0" applyNumberFormat="1" applyFont="1" applyFill="1" applyAlignment="1">
      <alignment horizontal="left" shrinkToFit="1"/>
    </xf>
    <xf numFmtId="0" fontId="17" fillId="7" borderId="0" xfId="0" applyFont="1" applyFill="1" applyAlignment="1">
      <alignment horizontal="left" vertical="center"/>
    </xf>
    <xf numFmtId="0" fontId="18" fillId="7" borderId="0" xfId="0" applyFont="1" applyFill="1" applyAlignment="1">
      <alignment vertical="center"/>
    </xf>
    <xf numFmtId="0" fontId="19" fillId="7" borderId="0" xfId="0" applyFont="1" applyFill="1" applyAlignment="1">
      <alignment vertical="center"/>
    </xf>
    <xf numFmtId="0" fontId="20" fillId="7" borderId="0" xfId="0" applyFont="1" applyFill="1" applyAlignment="1">
      <alignment vertical="center"/>
    </xf>
    <xf numFmtId="0" fontId="1" fillId="7" borderId="15" xfId="0" applyFont="1" applyFill="1" applyBorder="1" applyAlignment="1">
      <alignment vertical="center"/>
    </xf>
    <xf numFmtId="0" fontId="1" fillId="6" borderId="16" xfId="0" applyFont="1" applyFill="1" applyBorder="1" applyAlignment="1">
      <alignment vertical="center"/>
    </xf>
    <xf numFmtId="0" fontId="1" fillId="6" borderId="2" xfId="0" applyFont="1" applyFill="1" applyBorder="1" applyAlignment="1">
      <alignment vertical="center"/>
    </xf>
    <xf numFmtId="0" fontId="1" fillId="6" borderId="17" xfId="0" applyFont="1" applyFill="1" applyBorder="1" applyAlignment="1">
      <alignment vertical="center"/>
    </xf>
    <xf numFmtId="0" fontId="1" fillId="4" borderId="0" xfId="0" applyFont="1" applyFill="1" applyAlignment="1">
      <alignment vertical="center"/>
    </xf>
    <xf numFmtId="0" fontId="1" fillId="4" borderId="18" xfId="0" applyFont="1" applyFill="1" applyBorder="1" applyAlignment="1">
      <alignment vertical="center"/>
    </xf>
    <xf numFmtId="1" fontId="21" fillId="7" borderId="0" xfId="0" applyNumberFormat="1" applyFont="1" applyFill="1" applyAlignment="1">
      <alignment horizontal="left" vertical="center"/>
    </xf>
    <xf numFmtId="1" fontId="22" fillId="7" borderId="0" xfId="0" applyNumberFormat="1" applyFont="1" applyFill="1" applyAlignment="1">
      <alignment horizontal="left" vertical="center"/>
    </xf>
    <xf numFmtId="1" fontId="23" fillId="7" borderId="0" xfId="0" applyNumberFormat="1" applyFont="1" applyFill="1" applyAlignment="1">
      <alignment horizontal="left" vertical="center"/>
    </xf>
    <xf numFmtId="0" fontId="24" fillId="7" borderId="0" xfId="0" applyFont="1" applyFill="1" applyAlignment="1">
      <alignment horizontal="left" vertical="center"/>
    </xf>
    <xf numFmtId="0" fontId="6" fillId="7" borderId="0" xfId="0" applyFont="1" applyFill="1" applyAlignment="1">
      <alignment vertical="center" shrinkToFit="1"/>
    </xf>
    <xf numFmtId="0" fontId="6" fillId="7" borderId="0" xfId="0" applyFont="1" applyFill="1" applyAlignment="1">
      <alignment vertical="center"/>
    </xf>
    <xf numFmtId="0" fontId="1" fillId="7" borderId="19" xfId="0" applyFont="1" applyFill="1" applyBorder="1" applyAlignment="1">
      <alignment vertical="center"/>
    </xf>
    <xf numFmtId="0" fontId="1" fillId="7" borderId="20" xfId="0" applyFont="1" applyFill="1" applyBorder="1" applyAlignment="1">
      <alignment vertical="center"/>
    </xf>
    <xf numFmtId="0" fontId="1" fillId="7" borderId="21" xfId="0" applyFont="1" applyFill="1" applyBorder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25" fillId="7" borderId="4" xfId="0" applyFont="1" applyFill="1" applyBorder="1" applyAlignment="1">
      <alignment vertical="center"/>
    </xf>
    <xf numFmtId="0" fontId="10" fillId="7" borderId="4" xfId="0" applyFont="1" applyFill="1" applyBorder="1" applyAlignment="1">
      <alignment horizontal="right" vertical="center"/>
    </xf>
    <xf numFmtId="0" fontId="26" fillId="7" borderId="0" xfId="0" applyFont="1" applyFill="1" applyAlignment="1">
      <alignment vertical="center"/>
    </xf>
    <xf numFmtId="168" fontId="27" fillId="7" borderId="0" xfId="0" applyNumberFormat="1" applyFont="1" applyFill="1" applyAlignment="1">
      <alignment horizontal="right" vertical="center"/>
    </xf>
    <xf numFmtId="0" fontId="28" fillId="8" borderId="2" xfId="0" applyFont="1" applyFill="1" applyBorder="1" applyAlignment="1">
      <alignment horizontal="center" vertical="center"/>
    </xf>
    <xf numFmtId="0" fontId="28" fillId="8" borderId="22" xfId="0" applyFont="1" applyFill="1" applyBorder="1" applyAlignment="1">
      <alignment horizontal="left" vertical="center" indent="1"/>
    </xf>
    <xf numFmtId="0" fontId="28" fillId="8" borderId="22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29" fillId="7" borderId="23" xfId="0" applyFont="1" applyFill="1" applyBorder="1" applyAlignment="1">
      <alignment horizontal="left" vertical="center" indent="1" shrinkToFit="1"/>
    </xf>
    <xf numFmtId="169" fontId="30" fillId="7" borderId="23" xfId="0" applyNumberFormat="1" applyFont="1" applyFill="1" applyBorder="1" applyAlignment="1">
      <alignment horizontal="center" vertical="center"/>
    </xf>
    <xf numFmtId="0" fontId="31" fillId="7" borderId="23" xfId="0" applyFont="1" applyFill="1" applyBorder="1" applyAlignment="1">
      <alignment horizontal="left" vertical="center" indent="1"/>
    </xf>
    <xf numFmtId="0" fontId="32" fillId="7" borderId="23" xfId="0" applyFont="1" applyFill="1" applyBorder="1" applyAlignment="1">
      <alignment horizontal="center" vertical="center"/>
    </xf>
    <xf numFmtId="170" fontId="29" fillId="7" borderId="23" xfId="0" applyNumberFormat="1" applyFont="1" applyFill="1" applyBorder="1" applyAlignment="1">
      <alignment horizontal="right" vertical="center"/>
    </xf>
    <xf numFmtId="0" fontId="33" fillId="7" borderId="18" xfId="0" applyFont="1" applyFill="1" applyBorder="1" applyAlignment="1">
      <alignment horizontal="center" vertical="center"/>
    </xf>
    <xf numFmtId="0" fontId="1" fillId="7" borderId="23" xfId="0" applyFont="1" applyFill="1" applyBorder="1" applyAlignment="1">
      <alignment vertical="center"/>
    </xf>
    <xf numFmtId="167" fontId="34" fillId="7" borderId="0" xfId="0" applyNumberFormat="1" applyFont="1" applyFill="1" applyAlignment="1">
      <alignment horizontal="right" vertical="center"/>
    </xf>
    <xf numFmtId="0" fontId="1" fillId="7" borderId="18" xfId="0" applyFont="1" applyFill="1" applyBorder="1" applyAlignment="1">
      <alignment vertical="center"/>
    </xf>
    <xf numFmtId="0" fontId="1" fillId="9" borderId="0" xfId="0" applyFont="1" applyFill="1" applyAlignment="1">
      <alignment vertical="center"/>
    </xf>
    <xf numFmtId="0" fontId="35" fillId="7" borderId="0" xfId="0" applyFont="1" applyFill="1" applyAlignment="1">
      <alignment vertical="center"/>
    </xf>
    <xf numFmtId="0" fontId="36" fillId="7" borderId="0" xfId="0" applyFont="1" applyFill="1" applyAlignment="1">
      <alignment vertical="center"/>
    </xf>
    <xf numFmtId="0" fontId="1" fillId="10" borderId="0" xfId="0" applyFont="1" applyFill="1" applyAlignment="1">
      <alignment vertical="center"/>
    </xf>
    <xf numFmtId="0" fontId="37" fillId="7" borderId="0" xfId="0" applyFont="1" applyFill="1" applyAlignment="1">
      <alignment vertical="center"/>
    </xf>
    <xf numFmtId="0" fontId="1" fillId="11" borderId="0" xfId="0" applyFont="1" applyFill="1" applyAlignment="1">
      <alignment vertical="center"/>
    </xf>
    <xf numFmtId="0" fontId="38" fillId="7" borderId="0" xfId="0" applyFont="1" applyFill="1" applyAlignment="1">
      <alignment vertical="center"/>
    </xf>
    <xf numFmtId="1" fontId="34" fillId="7" borderId="0" xfId="0" applyNumberFormat="1" applyFont="1" applyFill="1" applyAlignment="1">
      <alignment horizontal="right" vertical="center"/>
    </xf>
    <xf numFmtId="0" fontId="39" fillId="7" borderId="0" xfId="0" applyFont="1" applyFill="1" applyAlignment="1">
      <alignment horizontal="center" vertical="center"/>
    </xf>
    <xf numFmtId="0" fontId="40" fillId="7" borderId="0" xfId="0" applyFont="1" applyFill="1" applyAlignment="1">
      <alignment horizontal="center" vertical="center"/>
    </xf>
    <xf numFmtId="0" fontId="41" fillId="7" borderId="0" xfId="0" applyFont="1" applyFill="1" applyAlignment="1">
      <alignment horizontal="left" vertical="center" indent="1"/>
    </xf>
    <xf numFmtId="0" fontId="41" fillId="7" borderId="0" xfId="0" applyFont="1" applyFill="1" applyAlignment="1">
      <alignment horizontal="right" vertical="center"/>
    </xf>
    <xf numFmtId="1" fontId="2" fillId="7" borderId="0" xfId="0" applyNumberFormat="1" applyFont="1" applyFill="1" applyAlignment="1">
      <alignment horizontal="center" vertical="center"/>
    </xf>
    <xf numFmtId="0" fontId="42" fillId="7" borderId="0" xfId="0" applyFont="1" applyFill="1" applyAlignment="1">
      <alignment horizontal="center" vertical="center"/>
    </xf>
    <xf numFmtId="0" fontId="43" fillId="7" borderId="0" xfId="0" applyFont="1" applyFill="1" applyAlignment="1">
      <alignment horizontal="center" vertical="top"/>
    </xf>
    <xf numFmtId="0" fontId="44" fillId="7" borderId="0" xfId="0" applyFont="1" applyFill="1" applyAlignment="1">
      <alignment horizontal="center" vertical="center"/>
    </xf>
    <xf numFmtId="0" fontId="1" fillId="4" borderId="19" xfId="0" applyFont="1" applyFill="1" applyBorder="1" applyAlignment="1">
      <alignment vertical="center"/>
    </xf>
    <xf numFmtId="0" fontId="1" fillId="4" borderId="20" xfId="0" applyFont="1" applyFill="1" applyBorder="1" applyAlignment="1">
      <alignment vertical="center"/>
    </xf>
    <xf numFmtId="0" fontId="1" fillId="4" borderId="21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1" fillId="12" borderId="0" xfId="0" applyFont="1" applyFill="1" applyAlignment="1">
      <alignment vertical="center"/>
    </xf>
    <xf numFmtId="0" fontId="45" fillId="12" borderId="0" xfId="0" applyFont="1" applyFill="1" applyAlignment="1">
      <alignment vertical="center"/>
    </xf>
    <xf numFmtId="0" fontId="11" fillId="12" borderId="0" xfId="0" applyFont="1" applyFill="1" applyAlignment="1">
      <alignment vertical="center"/>
    </xf>
    <xf numFmtId="0" fontId="6" fillId="12" borderId="0" xfId="0" applyFont="1" applyFill="1" applyAlignment="1">
      <alignment vertical="center"/>
    </xf>
    <xf numFmtId="0" fontId="46" fillId="12" borderId="0" xfId="0" applyFont="1" applyFill="1" applyAlignment="1">
      <alignment vertical="center" shrinkToFit="1"/>
    </xf>
    <xf numFmtId="0" fontId="1" fillId="12" borderId="1" xfId="0" applyFont="1" applyFill="1" applyBorder="1" applyAlignment="1">
      <alignment vertical="center"/>
    </xf>
    <xf numFmtId="0" fontId="47" fillId="7" borderId="2" xfId="0" applyFont="1" applyFill="1" applyBorder="1" applyAlignment="1">
      <alignment vertical="center"/>
    </xf>
    <xf numFmtId="0" fontId="3" fillId="7" borderId="0" xfId="0" applyFont="1" applyFill="1" applyAlignment="1">
      <alignment horizontal="center" vertical="center"/>
    </xf>
    <xf numFmtId="0" fontId="48" fillId="7" borderId="0" xfId="0" applyFont="1" applyFill="1" applyAlignment="1">
      <alignment horizontal="center" vertical="top" wrapText="1"/>
    </xf>
    <xf numFmtId="0" fontId="45" fillId="7" borderId="0" xfId="0" applyFont="1" applyFill="1" applyAlignment="1">
      <alignment horizontal="center" vertical="center"/>
    </xf>
    <xf numFmtId="0" fontId="25" fillId="7" borderId="0" xfId="0" applyFont="1" applyFill="1" applyAlignment="1">
      <alignment vertical="center"/>
    </xf>
    <xf numFmtId="0" fontId="49" fillId="7" borderId="0" xfId="0" applyFont="1" applyFill="1" applyAlignment="1">
      <alignment vertical="center"/>
    </xf>
    <xf numFmtId="0" fontId="50" fillId="7" borderId="0" xfId="0" applyFont="1" applyFill="1" applyAlignment="1">
      <alignment vertical="center"/>
    </xf>
    <xf numFmtId="167" fontId="51" fillId="5" borderId="24" xfId="0" applyNumberFormat="1" applyFont="1" applyFill="1" applyBorder="1" applyAlignment="1" applyProtection="1">
      <alignment horizontal="center" vertical="center"/>
      <protection locked="0"/>
    </xf>
    <xf numFmtId="0" fontId="52" fillId="5" borderId="24" xfId="0" applyFont="1" applyFill="1" applyBorder="1" applyAlignment="1" applyProtection="1">
      <alignment horizontal="left" vertical="center" indent="1" shrinkToFit="1"/>
      <protection locked="0"/>
    </xf>
    <xf numFmtId="0" fontId="53" fillId="7" borderId="0" xfId="0" applyFont="1" applyFill="1" applyAlignment="1">
      <alignment vertical="center"/>
    </xf>
    <xf numFmtId="0" fontId="54" fillId="7" borderId="0" xfId="0" applyFont="1" applyFill="1" applyAlignment="1">
      <alignment vertical="center"/>
    </xf>
    <xf numFmtId="0" fontId="34" fillId="7" borderId="0" xfId="0" applyFont="1" applyFill="1" applyAlignment="1">
      <alignment vertical="top" wrapText="1"/>
    </xf>
    <xf numFmtId="166" fontId="52" fillId="7" borderId="0" xfId="0" applyNumberFormat="1" applyFont="1" applyFill="1" applyAlignment="1">
      <alignment horizontal="left" vertical="center" shrinkToFit="1"/>
    </xf>
    <xf numFmtId="1" fontId="52" fillId="7" borderId="0" xfId="0" applyNumberFormat="1" applyFont="1" applyFill="1" applyAlignment="1">
      <alignment horizontal="left" vertical="center" shrinkToFit="1"/>
    </xf>
    <xf numFmtId="165" fontId="52" fillId="7" borderId="0" xfId="0" applyNumberFormat="1" applyFont="1" applyFill="1" applyAlignment="1">
      <alignment horizontal="left" vertical="center" shrinkToFit="1"/>
    </xf>
    <xf numFmtId="171" fontId="52" fillId="7" borderId="0" xfId="0" applyNumberFormat="1" applyFont="1" applyFill="1" applyAlignment="1">
      <alignment horizontal="left" vertical="center" shrinkToFit="1"/>
    </xf>
    <xf numFmtId="0" fontId="28" fillId="8" borderId="0" xfId="0" applyFont="1" applyFill="1" applyAlignment="1">
      <alignment horizontal="center" vertical="center"/>
    </xf>
    <xf numFmtId="166" fontId="36" fillId="7" borderId="18" xfId="0" applyNumberFormat="1" applyFont="1" applyFill="1" applyBorder="1" applyAlignment="1">
      <alignment horizontal="center" vertical="center"/>
    </xf>
    <xf numFmtId="165" fontId="36" fillId="7" borderId="18" xfId="0" applyNumberFormat="1" applyFont="1" applyFill="1" applyBorder="1" applyAlignment="1">
      <alignment horizontal="left" vertical="center" indent="1"/>
    </xf>
    <xf numFmtId="171" fontId="36" fillId="7" borderId="18" xfId="0" applyNumberFormat="1" applyFont="1" applyFill="1" applyBorder="1" applyAlignment="1">
      <alignment horizontal="center" vertical="center"/>
    </xf>
    <xf numFmtId="1" fontId="36" fillId="7" borderId="18" xfId="0" applyNumberFormat="1" applyFont="1" applyFill="1" applyBorder="1" applyAlignment="1">
      <alignment horizontal="center" vertical="center"/>
    </xf>
    <xf numFmtId="165" fontId="36" fillId="7" borderId="18" xfId="0" applyNumberFormat="1" applyFont="1" applyFill="1" applyBorder="1" applyAlignment="1">
      <alignment horizontal="center" vertical="center"/>
    </xf>
    <xf numFmtId="164" fontId="55" fillId="0" borderId="0" xfId="0" applyNumberFormat="1" applyFont="1" applyAlignment="1">
      <alignment horizontal="center"/>
    </xf>
    <xf numFmtId="0" fontId="55" fillId="0" borderId="0" xfId="0" applyFont="1" applyAlignment="1">
      <alignment horizontal="center"/>
    </xf>
    <xf numFmtId="0" fontId="56" fillId="8" borderId="25" xfId="0" applyFont="1" applyFill="1" applyBorder="1" applyAlignment="1">
      <alignment horizontal="center" vertical="center" wrapText="1"/>
    </xf>
    <xf numFmtId="0" fontId="10" fillId="7" borderId="25" xfId="0" applyFont="1" applyFill="1" applyBorder="1" applyAlignment="1">
      <alignment horizontal="center" vertical="center" wrapText="1"/>
    </xf>
    <xf numFmtId="0" fontId="57" fillId="0" borderId="0" xfId="0" applyFont="1"/>
    <xf numFmtId="164" fontId="0" fillId="0" borderId="0" xfId="0" applyNumberFormat="1"/>
    <xf numFmtId="1" fontId="0" fillId="0" borderId="0" xfId="0" applyNumberFormat="1"/>
    <xf numFmtId="0" fontId="0" fillId="0" borderId="0" xfId="0"/>
    <xf numFmtId="165" fontId="0" fillId="0" borderId="0" xfId="0" applyNumberFormat="1"/>
    <xf numFmtId="167" fontId="0" fillId="0" borderId="0" xfId="0" applyNumberFormat="1"/>
    <xf numFmtId="172" fontId="0" fillId="0" borderId="0" xfId="0" applyNumberFormat="1"/>
  </cellXfs>
  <cellStyles count="1">
    <cellStyle name="Normal" xfId="0" builtinId="0"/>
  </cellStyles>
  <dxfs count="10">
    <dxf>
      <font>
        <color rgb="FF4CC35A"/>
      </font>
    </dxf>
    <dxf>
      <font>
        <color rgb="FFF5B70F"/>
      </font>
    </dxf>
    <dxf>
      <font>
        <color rgb="FFF04B46"/>
      </font>
    </dxf>
    <dxf>
      <font>
        <color rgb="FF4CC35A"/>
      </font>
      <numFmt numFmtId="169" formatCode="0.0?_*"/>
    </dxf>
    <dxf>
      <font>
        <color rgb="FF4CC35A"/>
      </font>
      <numFmt numFmtId="173" formatCode="0.0?&quot;*&quot;"/>
    </dxf>
    <dxf>
      <font>
        <color rgb="FFF5B70F"/>
      </font>
      <numFmt numFmtId="169" formatCode="0.0?_*"/>
    </dxf>
    <dxf>
      <font>
        <color rgb="FFF5B70F"/>
      </font>
      <numFmt numFmtId="173" formatCode="0.0?&quot;*&quot;"/>
    </dxf>
    <dxf>
      <font>
        <color rgb="FFF04B46"/>
      </font>
      <numFmt numFmtId="169" formatCode="0.0?_*"/>
    </dxf>
    <dxf>
      <font>
        <color rgb="FFF04B46"/>
      </font>
      <numFmt numFmtId="173" formatCode="0.0?&quot;*&quot;"/>
    </dxf>
    <dxf>
      <font>
        <color rgb="FF8C9DA7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080000000000000002"/>
          <c:y val="0.059999999999999998"/>
          <c:w val="0.83999999999999997"/>
          <c:h val="0.83999999999999997"/>
        </c:manualLayout>
      </c:layout>
      <c:doughnutChart>
        <c:varyColors val="1"/>
        <c:ser>
          <c:idx val="0"/>
          <c:order val="0"/>
          <c:tx>
            <c:v>Зоны</c:v>
          </c:tx>
          <c:dPt>
            <c:idx val="0"/>
            <c:spPr>
              <a:solidFill>
                <a:srgbClr val="49B649"/>
              </a:solidFill>
              <a:ln w="19050">
                <a:solidFill>
                  <a:srgbClr val="0A1D26"/>
                </a:solidFill>
              </a:ln>
            </c:spPr>
          </c:dPt>
          <c:dPt>
            <c:idx val="1"/>
            <c:spPr>
              <a:solidFill>
                <a:srgbClr val="F9AE0A"/>
              </a:solidFill>
              <a:ln w="19050">
                <a:solidFill>
                  <a:srgbClr val="0A1D26"/>
                </a:solidFill>
              </a:ln>
            </c:spPr>
          </c:dPt>
          <c:dPt>
            <c:idx val="2"/>
            <c:spPr>
              <a:solidFill>
                <a:srgbClr val="DF1F1E"/>
              </a:solidFill>
              <a:ln w="19050">
                <a:solidFill>
                  <a:srgbClr val="0A1D26"/>
                </a:solidFill>
              </a:ln>
            </c:spPr>
          </c:dPt>
          <c:dPt>
            <c:idx val="3"/>
            <c:spPr>
              <a:solidFill>
                <a:srgbClr val="2A3D47"/>
              </a:solidFill>
              <a:ln w="19050">
                <a:solidFill>
                  <a:srgbClr val="0A1D26"/>
                </a:solidFill>
              </a:ln>
            </c:spPr>
          </c:dPt>
          <c:cat>
            <c:strRef>
              <c:f>'Расчет'!$D$2:$D$5</c:f>
              <c:strCache>
                <c:ptCount val="4"/>
                <c:pt idx="0">
                  <c:v>Зеленая</c:v>
                </c:pt>
                <c:pt idx="1">
                  <c:v>Желтая</c:v>
                </c:pt>
                <c:pt idx="2">
                  <c:v>Красная</c:v>
                </c:pt>
                <c:pt idx="3">
                  <c:v>Нет данных</c:v>
                </c:pt>
              </c:strCache>
            </c:strRef>
          </c:cat>
          <c:val>
            <c:numRef>
              <c:f>'Расчет'!$E$2:$E$5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1.0</c:v>
                </c:pt>
              </c:numCache>
            </c:numRef>
          </c:val>
        </c:ser>
        <c:firstSliceAng val="0"/>
        <c:holeSize val="72"/>
      </c:doughnutChart>
      <c:spPr>
        <a:noFill/>
        <a:ln>
          <a:noFill/>
        </a:ln>
      </c:spPr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lineChart>
        <c:grouping val="standard"/>
        <c:ser>
          <c:idx val="0"/>
          <c:order val="0"/>
          <c:tx>
            <c:v>Норматив</c:v>
          </c:tx>
          <c:spPr>
            <a:ln w="12700">
              <a:solidFill>
                <a:srgbClr val="F04B46"/>
              </a:solidFill>
              <a:prstDash val="dash"/>
            </a:ln>
          </c:spPr>
          <c:marker>
            <c:symbol val="none"/>
          </c:marker>
          <c:cat>
            <c:strRef>
              <c:f>'Расчет'!$L$139:$AP$139</c:f>
              <c:strCache>
                <c:ptCount val="31"/>
                <c:pt idx="0">
                  <c:v>01.10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>08.10</c:v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>15.10</c:v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>22.10</c:v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>29.10</c:v>
                </c:pt>
                <c:pt idx="29">
                  <c:v/>
                </c:pt>
                <c:pt idx="30">
                  <c:v/>
                </c:pt>
              </c:strCache>
            </c:strRef>
          </c:cat>
          <c:val>
            <c:numRef>
              <c:f>'Расчет'!$L$135:$AP$135</c:f>
              <c:numCache>
                <c:formatCode>General</c:formatCode>
                <c:ptCount val="31"/>
                <c:pt idx="0">
                  <c:v>3.0</c:v>
                </c:pt>
                <c:pt idx="1">
                  <c:v>3.0</c:v>
                </c:pt>
                <c:pt idx="2">
                  <c:v>3.0</c:v>
                </c:pt>
                <c:pt idx="3">
                  <c:v>3.0</c:v>
                </c:pt>
                <c:pt idx="4">
                  <c:v>3.0</c:v>
                </c:pt>
                <c:pt idx="5">
                  <c:v>3.0</c:v>
                </c:pt>
                <c:pt idx="6">
                  <c:v>3.0</c:v>
                </c:pt>
                <c:pt idx="7">
                  <c:v>3.0</c:v>
                </c:pt>
                <c:pt idx="8">
                  <c:v>3.0</c:v>
                </c:pt>
                <c:pt idx="9">
                  <c:v>3.0</c:v>
                </c:pt>
                <c:pt idx="10">
                  <c:v>3.0</c:v>
                </c:pt>
                <c:pt idx="11">
                  <c:v>3.0</c:v>
                </c:pt>
                <c:pt idx="12">
                  <c:v>3.0</c:v>
                </c:pt>
                <c:pt idx="13">
                  <c:v>3.0</c:v>
                </c:pt>
                <c:pt idx="14">
                  <c:v>3.0</c:v>
                </c:pt>
                <c:pt idx="15">
                  <c:v>3.0</c:v>
                </c:pt>
                <c:pt idx="16">
                  <c:v>3.0</c:v>
                </c:pt>
                <c:pt idx="17">
                  <c:v>3.0</c:v>
                </c:pt>
                <c:pt idx="18">
                  <c:v>3.0</c:v>
                </c:pt>
                <c:pt idx="19">
                  <c:v>3.0</c:v>
                </c:pt>
                <c:pt idx="20">
                  <c:v>3.0</c:v>
                </c:pt>
                <c:pt idx="21">
                  <c:v>3.0</c:v>
                </c:pt>
                <c:pt idx="22">
                  <c:v>3.0</c:v>
                </c:pt>
                <c:pt idx="23">
                  <c:v>3.0</c:v>
                </c:pt>
                <c:pt idx="24">
                  <c:v>3.0</c:v>
                </c:pt>
                <c:pt idx="25">
                  <c:v>3.0</c:v>
                </c:pt>
                <c:pt idx="26">
                  <c:v>3.0</c:v>
                </c:pt>
                <c:pt idx="27">
                  <c:v>3.0</c:v>
                </c:pt>
                <c:pt idx="28">
                  <c:v>3.0</c:v>
                </c:pt>
                <c:pt idx="29">
                  <c:v>3.0</c:v>
                </c:pt>
                <c:pt idx="30">
                  <c:v>3.0</c:v>
                </c:pt>
              </c:numCache>
            </c:numRef>
          </c:val>
        </c:ser>
        <c:ser>
          <c:idx val="1"/>
          <c:order val="1"/>
          <c:tx>
            <c:v>Желтая зона</c:v>
          </c:tx>
          <c:spPr>
            <a:ln w="12700">
              <a:solidFill>
                <a:srgbClr val="F5B70F"/>
              </a:solidFill>
              <a:prstDash val="dash"/>
            </a:ln>
          </c:spPr>
          <c:marker>
            <c:symbol val="none"/>
          </c:marker>
          <c:cat>
            <c:strRef>
              <c:f>'Расчет'!$L$139:$AP$139</c:f>
              <c:strCache>
                <c:ptCount val="31"/>
                <c:pt idx="0">
                  <c:v>01.10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>08.10</c:v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>15.10</c:v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>22.10</c:v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>29.10</c:v>
                </c:pt>
                <c:pt idx="29">
                  <c:v/>
                </c:pt>
                <c:pt idx="30">
                  <c:v/>
                </c:pt>
              </c:strCache>
            </c:strRef>
          </c:cat>
          <c:val>
            <c:numRef>
              <c:f>'Расчет'!$L$136:$AP$136</c:f>
              <c:numCache>
                <c:formatCode>General</c:formatCode>
                <c:ptCount val="31"/>
                <c:pt idx="0">
                  <c:v>2.3</c:v>
                </c:pt>
                <c:pt idx="1">
                  <c:v>2.3</c:v>
                </c:pt>
                <c:pt idx="2">
                  <c:v>2.3</c:v>
                </c:pt>
                <c:pt idx="3">
                  <c:v>2.3</c:v>
                </c:pt>
                <c:pt idx="4">
                  <c:v>2.3</c:v>
                </c:pt>
                <c:pt idx="5">
                  <c:v>2.3</c:v>
                </c:pt>
                <c:pt idx="6">
                  <c:v>2.3</c:v>
                </c:pt>
                <c:pt idx="7">
                  <c:v>2.3</c:v>
                </c:pt>
                <c:pt idx="8">
                  <c:v>2.3</c:v>
                </c:pt>
                <c:pt idx="9">
                  <c:v>2.3</c:v>
                </c:pt>
                <c:pt idx="10">
                  <c:v>2.3</c:v>
                </c:pt>
                <c:pt idx="11">
                  <c:v>2.3</c:v>
                </c:pt>
                <c:pt idx="12">
                  <c:v>2.3</c:v>
                </c:pt>
                <c:pt idx="13">
                  <c:v>2.3</c:v>
                </c:pt>
                <c:pt idx="14">
                  <c:v>2.3</c:v>
                </c:pt>
                <c:pt idx="15">
                  <c:v>2.3</c:v>
                </c:pt>
                <c:pt idx="16">
                  <c:v>2.3</c:v>
                </c:pt>
                <c:pt idx="17">
                  <c:v>2.3</c:v>
                </c:pt>
                <c:pt idx="18">
                  <c:v>2.3</c:v>
                </c:pt>
                <c:pt idx="19">
                  <c:v>2.3</c:v>
                </c:pt>
                <c:pt idx="20">
                  <c:v>2.3</c:v>
                </c:pt>
                <c:pt idx="21">
                  <c:v>2.3</c:v>
                </c:pt>
                <c:pt idx="22">
                  <c:v>2.3</c:v>
                </c:pt>
                <c:pt idx="23">
                  <c:v>2.3</c:v>
                </c:pt>
                <c:pt idx="24">
                  <c:v>2.3</c:v>
                </c:pt>
                <c:pt idx="25">
                  <c:v>2.3</c:v>
                </c:pt>
                <c:pt idx="26">
                  <c:v>2.3</c:v>
                </c:pt>
                <c:pt idx="27">
                  <c:v>2.3</c:v>
                </c:pt>
                <c:pt idx="28">
                  <c:v>2.3</c:v>
                </c:pt>
                <c:pt idx="29">
                  <c:v>2.3</c:v>
                </c:pt>
                <c:pt idx="30">
                  <c:v>2.3</c:v>
                </c:pt>
              </c:numCache>
            </c:numRef>
          </c:val>
        </c:ser>
        <c:ser>
          <c:idx val="2"/>
          <c:order val="2"/>
          <c:tx>
            <c:v>Зеленая зона</c:v>
          </c:tx>
          <c:spPr>
            <a:ln w="12700">
              <a:solidFill>
                <a:srgbClr val="4CC35A">
                  <a:alpha val="60000"/>
                </a:srgbClr>
              </a:solidFill>
              <a:prstDash val="dash"/>
            </a:ln>
          </c:spPr>
          <c:marker>
            <c:symbol val="none"/>
          </c:marker>
          <c:cat>
            <c:strRef>
              <c:f>'Расчет'!$L$139:$AP$139</c:f>
              <c:strCache>
                <c:ptCount val="31"/>
                <c:pt idx="0">
                  <c:v>01.10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>08.10</c:v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>15.10</c:v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>22.10</c:v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>29.10</c:v>
                </c:pt>
                <c:pt idx="29">
                  <c:v/>
                </c:pt>
                <c:pt idx="30">
                  <c:v/>
                </c:pt>
              </c:strCache>
            </c:strRef>
          </c:cat>
          <c:val>
            <c:numRef>
              <c:f>'Расчет'!$L$137:$AP$137</c:f>
              <c:numCache>
                <c:formatCode>General</c:formatCode>
                <c:ptCount val="31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  <c:pt idx="12">
                  <c:v>1.5</c:v>
                </c:pt>
                <c:pt idx="13">
                  <c:v>1.5</c:v>
                </c:pt>
                <c:pt idx="14">
                  <c:v>1.5</c:v>
                </c:pt>
                <c:pt idx="15">
                  <c:v>1.5</c:v>
                </c:pt>
                <c:pt idx="16">
                  <c:v>1.5</c:v>
                </c:pt>
                <c:pt idx="17">
                  <c:v>1.5</c:v>
                </c:pt>
                <c:pt idx="18">
                  <c:v>1.5</c:v>
                </c:pt>
                <c:pt idx="19">
                  <c:v>1.5</c:v>
                </c:pt>
                <c:pt idx="20">
                  <c:v>1.5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  <c:pt idx="24">
                  <c:v>1.5</c:v>
                </c:pt>
                <c:pt idx="25">
                  <c:v>1.5</c:v>
                </c:pt>
                <c:pt idx="26">
                  <c:v>1.5</c:v>
                </c:pt>
                <c:pt idx="27">
                  <c:v>1.5</c:v>
                </c:pt>
                <c:pt idx="28">
                  <c:v>1.5</c:v>
                </c:pt>
                <c:pt idx="29">
                  <c:v>1.5</c:v>
                </c:pt>
                <c:pt idx="30">
                  <c:v>1.5</c:v>
                </c:pt>
              </c:numCache>
            </c:numRef>
          </c:val>
        </c:ser>
        <c:ser>
          <c:idx val="3"/>
          <c:order val="3"/>
          <c:tx>
            <c:v>Максимум</c:v>
          </c:tx>
          <c:spPr>
            <a:ln w="22225">
              <a:solidFill>
                <a:srgbClr val="4CC35A"/>
              </a:solidFill>
            </a:ln>
          </c:spPr>
          <c:marker>
            <c:symbol val="circle"/>
            <c:size val="4"/>
            <c:spPr>
              <a:solidFill>
                <a:srgbClr val="4CC35A"/>
              </a:solidFill>
              <a:ln>
                <a:solidFill>
                  <a:srgbClr val="4CC35A"/>
                </a:solidFill>
              </a:ln>
            </c:spPr>
          </c:marker>
          <c:cat>
            <c:strRef>
              <c:f>'Расчет'!$L$139:$AP$139</c:f>
              <c:strCache>
                <c:ptCount val="31"/>
                <c:pt idx="0">
                  <c:v>01.10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>08.10</c:v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>15.10</c:v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>22.10</c:v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>29.10</c:v>
                </c:pt>
                <c:pt idx="29">
                  <c:v/>
                </c:pt>
                <c:pt idx="30">
                  <c:v/>
                </c:pt>
              </c:strCache>
            </c:strRef>
          </c:cat>
          <c:val>
            <c:numRef>
              <c:f>'Расчет'!$L$134:$AP$134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ser>
          <c:idx val="4"/>
          <c:order val="4"/>
          <c:tx>
            <c:v>Последнее</c:v>
          </c:tx>
          <c:spPr>
            <a:ln>
              <a:noFill/>
            </a:ln>
          </c:spPr>
          <c:marker>
            <c:symbol val="circle"/>
            <c:size val="6"/>
            <c:spPr>
              <a:solidFill>
                <a:srgbClr val="4CC35A"/>
              </a:solidFill>
              <a:ln>
                <a:solidFill>
                  <a:srgbClr val="FFFFFF"/>
                </a:solidFill>
              </a:ln>
            </c:spPr>
          </c:marker>
          <c:dLbls>
            <c:numFmt formatCode="0.0#" sourceLinked="0"/>
            <c:spPr>
              <a:solidFill>
                <a:srgbClr val="0A1D26"/>
              </a:solidFill>
              <a:ln>
                <a:noFill/>
              </a:ln>
            </c:spPr>
            <c:txPr>
              <a:bodyPr/>
              <a:lstStyle/>
              <a:p>
                <a:pPr>
                  <a:defRPr sz="1000" b="0" baseline="0">
                    <a:solidFill>
                      <a:srgbClr val="4CC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'Расчет'!$L$139:$AP$139</c:f>
              <c:strCache>
                <c:ptCount val="31"/>
                <c:pt idx="0">
                  <c:v>01.10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>08.10</c:v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>15.10</c:v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>22.10</c:v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>29.10</c:v>
                </c:pt>
                <c:pt idx="29">
                  <c:v/>
                </c:pt>
                <c:pt idx="30">
                  <c:v/>
                </c:pt>
              </c:strCache>
            </c:strRef>
          </c:cat>
          <c:val>
            <c:numRef>
              <c:f>'Расчет'!$L$138:$AP$138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marker val="1"/>
        <c:axId val="50020001"/>
        <c:axId val="50020002"/>
      </c:lineChart>
      <c:catAx>
        <c:axId val="50020001"/>
        <c:scaling>
          <c:orientation val="minMax"/>
        </c:scaling>
        <c:axPos val="b"/>
        <c:majorTickMark val="none"/>
        <c:tickLblPos val="low"/>
        <c:spPr>
          <a:ln>
            <a:solidFill>
              <a:srgbClr val="1E3A47"/>
            </a:solidFill>
          </a:ln>
        </c:spPr>
        <c:txPr>
          <a:bodyPr rot="0" vert="horz"/>
          <a:lstStyle/>
          <a:p>
            <a:pPr>
              <a:defRPr sz="750" baseline="0">
                <a:solidFill>
                  <a:srgbClr val="8C9DA7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lblAlgn val="ctr"/>
        <c:lblOffset val="100"/>
        <c:tickLblSkip val="7"/>
      </c:catAx>
      <c:valAx>
        <c:axId val="50020002"/>
        <c:scaling>
          <c:orientation val="minMax"/>
          <c:min val="0"/>
        </c:scaling>
        <c:axPos val="l"/>
        <c:title>
          <c:tx>
            <c:rich>
              <a:bodyPr rot="0" vert="horz"/>
              <a:lstStyle/>
              <a:p>
                <a:pPr>
                  <a:defRPr sz="750" b="0" baseline="0">
                    <a:solidFill>
                      <a:srgbClr val="8C9DA7"/>
                    </a:solidFill>
                    <a:latin typeface="Segoe UI"/>
                  </a:defRPr>
                </a:pPr>
                <a:r>
                  <a:rPr lang="en-US" sz="750" b="0" baseline="0">
                    <a:solidFill>
                      <a:srgbClr val="8C9DA7"/>
                    </a:solidFill>
                    <a:latin typeface="Segoe UI"/>
                  </a:rPr>
                  <a:t>ppm</a:t>
                </a:r>
              </a:p>
            </c:rich>
          </c:tx>
          <c:layout>
            <c:manualLayout>
              <c:xMode val="edge"/>
              <c:yMode val="edge"/>
              <c:x val="0.02"/>
              <c:y val="0.02"/>
            </c:manualLayout>
          </c:layout>
        </c:title>
        <c:numFmt formatCode="0.0" sourceLinked="0"/>
        <c:maj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750" baseline="0">
                <a:solidFill>
                  <a:srgbClr val="8C9DA7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spPr>
        <a:noFill/>
        <a:ln>
          <a:noFill/>
        </a:ln>
      </c:spPr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hyperlink" Target="#'&#1057;&#1074;&#1086;&#1076;&#1082;&#1072;'!A1"/><Relationship Id="rId3" Type="http://schemas.openxmlformats.org/officeDocument/2006/relationships/image" Target="../media/image2.png"/><Relationship Id="rId4" Type="http://schemas.openxmlformats.org/officeDocument/2006/relationships/hyperlink" Target="#'&#1057;&#1048;&#1050;&#1053;'!A1"/><Relationship Id="rId5" Type="http://schemas.openxmlformats.org/officeDocument/2006/relationships/image" Target="../media/image3.png"/><Relationship Id="rId6" Type="http://schemas.openxmlformats.org/officeDocument/2006/relationships/hyperlink" Target="#'&#1058;&#1088;&#1077;&#1085;&#1076;&#1099;'!A1"/><Relationship Id="rId7" Type="http://schemas.openxmlformats.org/officeDocument/2006/relationships/image" Target="../media/image4.png"/><Relationship Id="rId8" Type="http://schemas.openxmlformats.org/officeDocument/2006/relationships/hyperlink" Target="#'&#1058;&#1088;&#1077;&#1074;&#1086;&#1075;&#1080;'!A1"/><Relationship Id="rId9" Type="http://schemas.openxmlformats.org/officeDocument/2006/relationships/image" Target="../media/image5.png"/><Relationship Id="rId10" Type="http://schemas.openxmlformats.org/officeDocument/2006/relationships/hyperlink" Target="#'&#1054;&#1090;&#1095;&#1077;&#1090;&#1099;'!A1"/><Relationship Id="rId11" Type="http://schemas.openxmlformats.org/officeDocument/2006/relationships/image" Target="../media/image6.png"/><Relationship Id="rId12" Type="http://schemas.openxmlformats.org/officeDocument/2006/relationships/hyperlink" Target="#'&#1053;&#1072;&#1089;&#1090;&#1088;&#1086;&#1081;&#1082;&#1080;'!A1"/><Relationship Id="rId13" Type="http://schemas.openxmlformats.org/officeDocument/2006/relationships/image" Target="../media/image7.png"/><Relationship Id="rId14" Type="http://schemas.openxmlformats.org/officeDocument/2006/relationships/image" Target="../media/image8.png"/><Relationship Id="rId15" Type="http://schemas.openxmlformats.org/officeDocument/2006/relationships/image" Target="../media/image9.png"/><Relationship Id="rId16" Type="http://schemas.openxmlformats.org/officeDocument/2006/relationships/image" Target="../media/image10.png"/><Relationship Id="rId17" Type="http://schemas.openxmlformats.org/officeDocument/2006/relationships/image" Target="../media/image11.png"/><Relationship Id="rId18" Type="http://schemas.openxmlformats.org/officeDocument/2006/relationships/image" Target="../media/image12.png"/><Relationship Id="rId19" Type="http://schemas.openxmlformats.org/officeDocument/2006/relationships/image" Target="../media/image13.png"/><Relationship Id="rId20" Type="http://schemas.openxmlformats.org/officeDocument/2006/relationships/image" Target="../media/image14.png"/><Relationship Id="rId21" Type="http://schemas.openxmlformats.org/officeDocument/2006/relationships/image" Target="../media/image15.png"/><Relationship Id="rId22" Type="http://schemas.openxmlformats.org/officeDocument/2006/relationships/image" Target="../media/image16.png"/><Relationship Id="rId23" Type="http://schemas.openxmlformats.org/officeDocument/2006/relationships/image" Target="../media/image17.png"/><Relationship Id="rId24" Type="http://schemas.openxmlformats.org/officeDocument/2006/relationships/image" Target="../media/image18.png"/><Relationship Id="rId25" Type="http://schemas.openxmlformats.org/officeDocument/2006/relationships/image" Target="../media/image19.png"/><Relationship Id="rId26" Type="http://schemas.openxmlformats.org/officeDocument/2006/relationships/image" Target="../media/image20.png"/><Relationship Id="rId27" Type="http://schemas.openxmlformats.org/officeDocument/2006/relationships/image" Target="../media/image21.png"/><Relationship Id="rId28" Type="http://schemas.openxmlformats.org/officeDocument/2006/relationships/chart" Target="../charts/chart1.xml"/><Relationship Id="rId29" Type="http://schemas.openxmlformats.org/officeDocument/2006/relationships/chart" Target="../charts/chart2.xml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hyperlink" Target="#'&#1057;&#1074;&#1086;&#1076;&#1082;&#1072;'!A1"/><Relationship Id="rId3" Type="http://schemas.openxmlformats.org/officeDocument/2006/relationships/image" Target="../media/image22.png"/><Relationship Id="rId4" Type="http://schemas.openxmlformats.org/officeDocument/2006/relationships/hyperlink" Target="#'&#1057;&#1048;&#1050;&#1053;'!A1"/><Relationship Id="rId5" Type="http://schemas.openxmlformats.org/officeDocument/2006/relationships/image" Target="../media/image23.png"/><Relationship Id="rId6" Type="http://schemas.openxmlformats.org/officeDocument/2006/relationships/hyperlink" Target="#'&#1058;&#1088;&#1077;&#1085;&#1076;&#1099;'!A1"/><Relationship Id="rId7" Type="http://schemas.openxmlformats.org/officeDocument/2006/relationships/image" Target="../media/image4.png"/><Relationship Id="rId8" Type="http://schemas.openxmlformats.org/officeDocument/2006/relationships/hyperlink" Target="#'&#1058;&#1088;&#1077;&#1074;&#1086;&#1075;&#1080;'!A1"/><Relationship Id="rId9" Type="http://schemas.openxmlformats.org/officeDocument/2006/relationships/image" Target="../media/image5.png"/><Relationship Id="rId10" Type="http://schemas.openxmlformats.org/officeDocument/2006/relationships/hyperlink" Target="#'&#1054;&#1090;&#1095;&#1077;&#1090;&#1099;'!A1"/><Relationship Id="rId11" Type="http://schemas.openxmlformats.org/officeDocument/2006/relationships/image" Target="../media/image6.png"/><Relationship Id="rId12" Type="http://schemas.openxmlformats.org/officeDocument/2006/relationships/hyperlink" Target="#'&#1053;&#1072;&#1089;&#1090;&#1088;&#1086;&#1081;&#1082;&#1080;'!A1"/><Relationship Id="rId13" Type="http://schemas.openxmlformats.org/officeDocument/2006/relationships/image" Target="../media/image7.png"/><Relationship Id="rId14" Type="http://schemas.openxmlformats.org/officeDocument/2006/relationships/image" Target="../media/image3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hyperlink" Target="#'&#1057;&#1074;&#1086;&#1076;&#1082;&#1072;'!A1"/><Relationship Id="rId3" Type="http://schemas.openxmlformats.org/officeDocument/2006/relationships/image" Target="../media/image22.png"/><Relationship Id="rId4" Type="http://schemas.openxmlformats.org/officeDocument/2006/relationships/hyperlink" Target="#'&#1057;&#1048;&#1050;&#1053;'!A1"/><Relationship Id="rId5" Type="http://schemas.openxmlformats.org/officeDocument/2006/relationships/image" Target="../media/image3.png"/><Relationship Id="rId6" Type="http://schemas.openxmlformats.org/officeDocument/2006/relationships/hyperlink" Target="#'&#1058;&#1088;&#1077;&#1085;&#1076;&#1099;'!A1"/><Relationship Id="rId7" Type="http://schemas.openxmlformats.org/officeDocument/2006/relationships/image" Target="../media/image24.png"/><Relationship Id="rId8" Type="http://schemas.openxmlformats.org/officeDocument/2006/relationships/hyperlink" Target="#'&#1058;&#1088;&#1077;&#1074;&#1086;&#1075;&#1080;'!A1"/><Relationship Id="rId9" Type="http://schemas.openxmlformats.org/officeDocument/2006/relationships/image" Target="../media/image5.png"/><Relationship Id="rId10" Type="http://schemas.openxmlformats.org/officeDocument/2006/relationships/hyperlink" Target="#'&#1054;&#1090;&#1095;&#1077;&#1090;&#1099;'!A1"/><Relationship Id="rId11" Type="http://schemas.openxmlformats.org/officeDocument/2006/relationships/image" Target="../media/image6.png"/><Relationship Id="rId12" Type="http://schemas.openxmlformats.org/officeDocument/2006/relationships/hyperlink" Target="#'&#1053;&#1072;&#1089;&#1090;&#1088;&#1086;&#1081;&#1082;&#1080;'!A1"/><Relationship Id="rId13" Type="http://schemas.openxmlformats.org/officeDocument/2006/relationships/image" Target="../media/image7.png"/><Relationship Id="rId14" Type="http://schemas.openxmlformats.org/officeDocument/2006/relationships/image" Target="../media/image4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hyperlink" Target="#'&#1057;&#1074;&#1086;&#1076;&#1082;&#1072;'!A1"/><Relationship Id="rId3" Type="http://schemas.openxmlformats.org/officeDocument/2006/relationships/image" Target="../media/image22.png"/><Relationship Id="rId4" Type="http://schemas.openxmlformats.org/officeDocument/2006/relationships/hyperlink" Target="#'&#1057;&#1048;&#1050;&#1053;'!A1"/><Relationship Id="rId5" Type="http://schemas.openxmlformats.org/officeDocument/2006/relationships/image" Target="../media/image3.png"/><Relationship Id="rId6" Type="http://schemas.openxmlformats.org/officeDocument/2006/relationships/hyperlink" Target="#'&#1058;&#1088;&#1077;&#1085;&#1076;&#1099;'!A1"/><Relationship Id="rId7" Type="http://schemas.openxmlformats.org/officeDocument/2006/relationships/image" Target="../media/image4.png"/><Relationship Id="rId8" Type="http://schemas.openxmlformats.org/officeDocument/2006/relationships/hyperlink" Target="#'&#1058;&#1088;&#1077;&#1074;&#1086;&#1075;&#1080;'!A1"/><Relationship Id="rId9" Type="http://schemas.openxmlformats.org/officeDocument/2006/relationships/image" Target="../media/image25.png"/><Relationship Id="rId10" Type="http://schemas.openxmlformats.org/officeDocument/2006/relationships/hyperlink" Target="#'&#1054;&#1090;&#1095;&#1077;&#1090;&#1099;'!A1"/><Relationship Id="rId11" Type="http://schemas.openxmlformats.org/officeDocument/2006/relationships/image" Target="../media/image6.png"/><Relationship Id="rId12" Type="http://schemas.openxmlformats.org/officeDocument/2006/relationships/hyperlink" Target="#'&#1053;&#1072;&#1089;&#1090;&#1088;&#1086;&#1081;&#1082;&#1080;'!A1"/><Relationship Id="rId13" Type="http://schemas.openxmlformats.org/officeDocument/2006/relationships/image" Target="../media/image7.png"/><Relationship Id="rId14" Type="http://schemas.openxmlformats.org/officeDocument/2006/relationships/image" Target="../media/image5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hyperlink" Target="#'&#1057;&#1074;&#1086;&#1076;&#1082;&#1072;'!A1"/><Relationship Id="rId3" Type="http://schemas.openxmlformats.org/officeDocument/2006/relationships/image" Target="../media/image22.png"/><Relationship Id="rId4" Type="http://schemas.openxmlformats.org/officeDocument/2006/relationships/hyperlink" Target="#'&#1057;&#1048;&#1050;&#1053;'!A1"/><Relationship Id="rId5" Type="http://schemas.openxmlformats.org/officeDocument/2006/relationships/image" Target="../media/image3.png"/><Relationship Id="rId6" Type="http://schemas.openxmlformats.org/officeDocument/2006/relationships/hyperlink" Target="#'&#1058;&#1088;&#1077;&#1085;&#1076;&#1099;'!A1"/><Relationship Id="rId7" Type="http://schemas.openxmlformats.org/officeDocument/2006/relationships/image" Target="../media/image4.png"/><Relationship Id="rId8" Type="http://schemas.openxmlformats.org/officeDocument/2006/relationships/hyperlink" Target="#'&#1058;&#1088;&#1077;&#1074;&#1086;&#1075;&#1080;'!A1"/><Relationship Id="rId9" Type="http://schemas.openxmlformats.org/officeDocument/2006/relationships/image" Target="../media/image5.png"/><Relationship Id="rId10" Type="http://schemas.openxmlformats.org/officeDocument/2006/relationships/hyperlink" Target="#'&#1054;&#1090;&#1095;&#1077;&#1090;&#1099;'!A1"/><Relationship Id="rId11" Type="http://schemas.openxmlformats.org/officeDocument/2006/relationships/image" Target="../media/image26.png"/><Relationship Id="rId12" Type="http://schemas.openxmlformats.org/officeDocument/2006/relationships/hyperlink" Target="#'&#1053;&#1072;&#1089;&#1090;&#1088;&#1086;&#1081;&#1082;&#1080;'!A1"/><Relationship Id="rId13" Type="http://schemas.openxmlformats.org/officeDocument/2006/relationships/image" Target="../media/image7.png"/><Relationship Id="rId14" Type="http://schemas.openxmlformats.org/officeDocument/2006/relationships/image" Target="../media/image6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hyperlink" Target="#'&#1057;&#1074;&#1086;&#1076;&#1082;&#1072;'!A1"/><Relationship Id="rId3" Type="http://schemas.openxmlformats.org/officeDocument/2006/relationships/image" Target="../media/image22.png"/><Relationship Id="rId4" Type="http://schemas.openxmlformats.org/officeDocument/2006/relationships/hyperlink" Target="#'&#1057;&#1048;&#1050;&#1053;'!A1"/><Relationship Id="rId5" Type="http://schemas.openxmlformats.org/officeDocument/2006/relationships/image" Target="../media/image3.png"/><Relationship Id="rId6" Type="http://schemas.openxmlformats.org/officeDocument/2006/relationships/hyperlink" Target="#'&#1058;&#1088;&#1077;&#1085;&#1076;&#1099;'!A1"/><Relationship Id="rId7" Type="http://schemas.openxmlformats.org/officeDocument/2006/relationships/image" Target="../media/image4.png"/><Relationship Id="rId8" Type="http://schemas.openxmlformats.org/officeDocument/2006/relationships/hyperlink" Target="#'&#1058;&#1088;&#1077;&#1074;&#1086;&#1075;&#1080;'!A1"/><Relationship Id="rId9" Type="http://schemas.openxmlformats.org/officeDocument/2006/relationships/image" Target="../media/image5.png"/><Relationship Id="rId10" Type="http://schemas.openxmlformats.org/officeDocument/2006/relationships/hyperlink" Target="#'&#1054;&#1090;&#1095;&#1077;&#1090;&#1099;'!A1"/><Relationship Id="rId11" Type="http://schemas.openxmlformats.org/officeDocument/2006/relationships/image" Target="../media/image6.png"/><Relationship Id="rId12" Type="http://schemas.openxmlformats.org/officeDocument/2006/relationships/hyperlink" Target="#'&#1053;&#1072;&#1089;&#1090;&#1088;&#1086;&#1081;&#1082;&#1080;'!A1"/><Relationship Id="rId13" Type="http://schemas.openxmlformats.org/officeDocument/2006/relationships/image" Target="../media/image27.png"/><Relationship Id="rId14" Type="http://schemas.openxmlformats.org/officeDocument/2006/relationships/image" Target="../media/image8.png"/><Relationship Id="rId15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3</xdr:row>
      <xdr:rowOff>9525</xdr:rowOff>
    </xdr:from>
    <xdr:to>
      <xdr:col>4</xdr:col>
      <xdr:colOff>57912</xdr:colOff>
      <xdr:row>8</xdr:row>
      <xdr:rowOff>10287</xdr:rowOff>
    </xdr:to>
    <xdr:pic>
      <xdr:nvPicPr>
        <xdr:cNvPr id="2" name="Picture 1" descr="logo_mark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61925"/>
          <a:ext cx="438912" cy="438912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13</xdr:row>
      <xdr:rowOff>114300</xdr:rowOff>
    </xdr:from>
    <xdr:to>
      <xdr:col>5</xdr:col>
      <xdr:colOff>76200</xdr:colOff>
      <xdr:row>15</xdr:row>
      <xdr:rowOff>57150</xdr:rowOff>
    </xdr:to>
    <xdr:pic>
      <xdr:nvPicPr>
        <xdr:cNvPr id="3" name="Picture 2" descr="nav_dashboard_active.png">
          <a:hlinkClick xmlns:r="http://schemas.openxmlformats.org/officeDocument/2006/relationships" r:id="rId2" tooltip="Сводка"/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9100" y="1066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27</xdr:row>
      <xdr:rowOff>19050</xdr:rowOff>
    </xdr:from>
    <xdr:to>
      <xdr:col>5</xdr:col>
      <xdr:colOff>76200</xdr:colOff>
      <xdr:row>32</xdr:row>
      <xdr:rowOff>38100</xdr:rowOff>
    </xdr:to>
    <xdr:pic>
      <xdr:nvPicPr>
        <xdr:cNvPr id="4" name="Picture 3" descr="nav_sikn_normal.png">
          <a:hlinkClick xmlns:r="http://schemas.openxmlformats.org/officeDocument/2006/relationships" r:id="rId4" tooltip="СИКН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9100" y="1924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40</xdr:row>
      <xdr:rowOff>76200</xdr:rowOff>
    </xdr:from>
    <xdr:to>
      <xdr:col>5</xdr:col>
      <xdr:colOff>76200</xdr:colOff>
      <xdr:row>43</xdr:row>
      <xdr:rowOff>19050</xdr:rowOff>
    </xdr:to>
    <xdr:pic>
      <xdr:nvPicPr>
        <xdr:cNvPr id="5" name="Picture 4" descr="nav_trends_normal.png">
          <a:hlinkClick xmlns:r="http://schemas.openxmlformats.org/officeDocument/2006/relationships" r:id="rId6" tooltip="Тренды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9100" y="27813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51</xdr:row>
      <xdr:rowOff>0</xdr:rowOff>
    </xdr:from>
    <xdr:to>
      <xdr:col>5</xdr:col>
      <xdr:colOff>76200</xdr:colOff>
      <xdr:row>55</xdr:row>
      <xdr:rowOff>133350</xdr:rowOff>
    </xdr:to>
    <xdr:pic>
      <xdr:nvPicPr>
        <xdr:cNvPr id="6" name="Picture 5" descr="nav_alarms_normal.png">
          <a:hlinkClick xmlns:r="http://schemas.openxmlformats.org/officeDocument/2006/relationships" r:id="rId8" tooltip="Тревоги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9100" y="36385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64</xdr:row>
      <xdr:rowOff>19050</xdr:rowOff>
    </xdr:from>
    <xdr:to>
      <xdr:col>5</xdr:col>
      <xdr:colOff>76200</xdr:colOff>
      <xdr:row>66</xdr:row>
      <xdr:rowOff>76200</xdr:rowOff>
    </xdr:to>
    <xdr:pic>
      <xdr:nvPicPr>
        <xdr:cNvPr id="7" name="Picture 6" descr="nav_reports_normal.png">
          <a:hlinkClick xmlns:r="http://schemas.openxmlformats.org/officeDocument/2006/relationships" r:id="rId10" tooltip="Отчеты"/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19100" y="4495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78</xdr:row>
      <xdr:rowOff>19050</xdr:rowOff>
    </xdr:from>
    <xdr:to>
      <xdr:col>5</xdr:col>
      <xdr:colOff>76200</xdr:colOff>
      <xdr:row>80</xdr:row>
      <xdr:rowOff>190500</xdr:rowOff>
    </xdr:to>
    <xdr:pic>
      <xdr:nvPicPr>
        <xdr:cNvPr id="8" name="Picture 7" descr="nav_settings_normal.png">
          <a:hlinkClick xmlns:r="http://schemas.openxmlformats.org/officeDocument/2006/relationships" r:id="rId12" tooltip="Настройки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9100" y="5353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72</xdr:col>
      <xdr:colOff>95250</xdr:colOff>
      <xdr:row>12</xdr:row>
      <xdr:rowOff>0</xdr:rowOff>
    </xdr:from>
    <xdr:to>
      <xdr:col>84</xdr:col>
      <xdr:colOff>0</xdr:colOff>
      <xdr:row>14</xdr:row>
      <xdr:rowOff>0</xdr:rowOff>
    </xdr:to>
    <xdr:pic macro="[0]!ImportData">
      <xdr:nvPicPr>
        <xdr:cNvPr id="9" name="btnImportData" descr="btn:ImportData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1391900" y="876300"/>
          <a:ext cx="1752600" cy="323850"/>
        </a:xfrm>
        <a:prstGeom prst="roundRect">
          <a:avLst/>
        </a:prstGeom>
      </xdr:spPr>
    </xdr:pic>
    <xdr:clientData/>
  </xdr:twoCellAnchor>
  <xdr:twoCellAnchor editAs="absolute">
    <xdr:from>
      <xdr:col>10</xdr:col>
      <xdr:colOff>19050</xdr:colOff>
      <xdr:row>19</xdr:row>
      <xdr:rowOff>0</xdr:rowOff>
    </xdr:from>
    <xdr:to>
      <xdr:col>13</xdr:col>
      <xdr:colOff>19050</xdr:colOff>
      <xdr:row>32</xdr:row>
      <xdr:rowOff>19050</xdr:rowOff>
    </xdr:to>
    <xdr:pic>
      <xdr:nvPicPr>
        <xdr:cNvPr id="10" name="imgState0" descr="state:0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52550" y="1600200"/>
          <a:ext cx="609600" cy="6096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19050</xdr:colOff>
      <xdr:row>19</xdr:row>
      <xdr:rowOff>0</xdr:rowOff>
    </xdr:from>
    <xdr:to>
      <xdr:col>13</xdr:col>
      <xdr:colOff>19050</xdr:colOff>
      <xdr:row>32</xdr:row>
      <xdr:rowOff>19050</xdr:rowOff>
    </xdr:to>
    <xdr:pic>
      <xdr:nvPicPr>
        <xdr:cNvPr id="11" name="imgState1" descr="state:1" hidden="1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352550" y="1600200"/>
          <a:ext cx="609600" cy="6096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19050</xdr:colOff>
      <xdr:row>19</xdr:row>
      <xdr:rowOff>0</xdr:rowOff>
    </xdr:from>
    <xdr:to>
      <xdr:col>13</xdr:col>
      <xdr:colOff>19050</xdr:colOff>
      <xdr:row>32</xdr:row>
      <xdr:rowOff>19050</xdr:rowOff>
    </xdr:to>
    <xdr:pic>
      <xdr:nvPicPr>
        <xdr:cNvPr id="12" name="imgState2" descr="state:2" hidden="1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52550" y="1600200"/>
          <a:ext cx="609600" cy="6096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19050</xdr:colOff>
      <xdr:row>19</xdr:row>
      <xdr:rowOff>0</xdr:rowOff>
    </xdr:from>
    <xdr:to>
      <xdr:col>13</xdr:col>
      <xdr:colOff>19050</xdr:colOff>
      <xdr:row>32</xdr:row>
      <xdr:rowOff>19050</xdr:rowOff>
    </xdr:to>
    <xdr:pic>
      <xdr:nvPicPr>
        <xdr:cNvPr id="13" name="imgState3" descr="state:3" hidden="1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352550" y="1600200"/>
          <a:ext cx="609600" cy="6096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19050</xdr:colOff>
      <xdr:row>19</xdr:row>
      <xdr:rowOff>0</xdr:rowOff>
    </xdr:from>
    <xdr:to>
      <xdr:col>13</xdr:col>
      <xdr:colOff>19050</xdr:colOff>
      <xdr:row>32</xdr:row>
      <xdr:rowOff>19050</xdr:rowOff>
    </xdr:to>
    <xdr:pic>
      <xdr:nvPicPr>
        <xdr:cNvPr id="14" name="imgState4" descr="state:4" hidden="1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352550" y="1600200"/>
          <a:ext cx="609600" cy="609600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109</xdr:row>
      <xdr:rowOff>28575</xdr:rowOff>
    </xdr:from>
    <xdr:to>
      <xdr:col>3</xdr:col>
      <xdr:colOff>228600</xdr:colOff>
      <xdr:row>109</xdr:row>
      <xdr:rowOff>257175</xdr:rowOff>
    </xdr:to>
    <xdr:pic>
      <xdr:nvPicPr>
        <xdr:cNvPr id="15" name="imgFoot0" descr="foot:0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47650" y="9210675"/>
          <a:ext cx="228600" cy="228600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109</xdr:row>
      <xdr:rowOff>28575</xdr:rowOff>
    </xdr:from>
    <xdr:to>
      <xdr:col>3</xdr:col>
      <xdr:colOff>228600</xdr:colOff>
      <xdr:row>109</xdr:row>
      <xdr:rowOff>257175</xdr:rowOff>
    </xdr:to>
    <xdr:pic>
      <xdr:nvPicPr>
        <xdr:cNvPr id="16" name="imgFoot1" descr="foot:1" hidden="1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47650" y="9210675"/>
          <a:ext cx="228600" cy="228600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109</xdr:row>
      <xdr:rowOff>28575</xdr:rowOff>
    </xdr:from>
    <xdr:to>
      <xdr:col>3</xdr:col>
      <xdr:colOff>228600</xdr:colOff>
      <xdr:row>109</xdr:row>
      <xdr:rowOff>257175</xdr:rowOff>
    </xdr:to>
    <xdr:pic>
      <xdr:nvPicPr>
        <xdr:cNvPr id="17" name="imgFoot2" descr="foot:2" hidden="1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47650" y="9210675"/>
          <a:ext cx="228600" cy="228600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109</xdr:row>
      <xdr:rowOff>28575</xdr:rowOff>
    </xdr:from>
    <xdr:to>
      <xdr:col>3</xdr:col>
      <xdr:colOff>228600</xdr:colOff>
      <xdr:row>109</xdr:row>
      <xdr:rowOff>257175</xdr:rowOff>
    </xdr:to>
    <xdr:pic>
      <xdr:nvPicPr>
        <xdr:cNvPr id="18" name="imgFoot3" descr="foot:3" hidden="1"/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47650" y="9210675"/>
          <a:ext cx="228600" cy="228600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109</xdr:row>
      <xdr:rowOff>28575</xdr:rowOff>
    </xdr:from>
    <xdr:to>
      <xdr:col>3</xdr:col>
      <xdr:colOff>228600</xdr:colOff>
      <xdr:row>109</xdr:row>
      <xdr:rowOff>257175</xdr:rowOff>
    </xdr:to>
    <xdr:pic>
      <xdr:nvPicPr>
        <xdr:cNvPr id="19" name="imgFoot4" descr="foot:4" hidden="1"/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47650" y="9210675"/>
          <a:ext cx="228600" cy="228600"/>
        </a:xfrm>
        <a:prstGeom prst="rect">
          <a:avLst/>
        </a:prstGeom>
      </xdr:spPr>
    </xdr:pic>
    <xdr:clientData/>
  </xdr:twoCellAnchor>
  <xdr:twoCellAnchor editAs="absolute">
    <xdr:from>
      <xdr:col>26</xdr:col>
      <xdr:colOff>266700</xdr:colOff>
      <xdr:row>109</xdr:row>
      <xdr:rowOff>76200</xdr:rowOff>
    </xdr:from>
    <xdr:to>
      <xdr:col>26</xdr:col>
      <xdr:colOff>457200</xdr:colOff>
      <xdr:row>109</xdr:row>
      <xdr:rowOff>266700</xdr:rowOff>
    </xdr:to>
    <xdr:pic>
      <xdr:nvPicPr>
        <xdr:cNvPr id="20" name="Picture 19" descr="ui_doc.png"/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143500" y="9258300"/>
          <a:ext cx="190500" cy="190500"/>
        </a:xfrm>
        <a:prstGeom prst="rect">
          <a:avLst/>
        </a:prstGeom>
      </xdr:spPr>
    </xdr:pic>
    <xdr:clientData/>
  </xdr:twoCellAnchor>
  <xdr:twoCellAnchor editAs="absolute">
    <xdr:from>
      <xdr:col>55</xdr:col>
      <xdr:colOff>0</xdr:colOff>
      <xdr:row>109</xdr:row>
      <xdr:rowOff>76200</xdr:rowOff>
    </xdr:from>
    <xdr:to>
      <xdr:col>59</xdr:col>
      <xdr:colOff>0</xdr:colOff>
      <xdr:row>109</xdr:row>
      <xdr:rowOff>266700</xdr:rowOff>
    </xdr:to>
    <xdr:pic>
      <xdr:nvPicPr>
        <xdr:cNvPr id="21" name="Picture 20" descr="ui_shield.png"/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906000" y="9258300"/>
          <a:ext cx="190500" cy="190500"/>
        </a:xfrm>
        <a:prstGeom prst="rect">
          <a:avLst/>
        </a:prstGeom>
      </xdr:spPr>
    </xdr:pic>
    <xdr:clientData/>
  </xdr:twoCellAnchor>
  <xdr:twoCellAnchor editAs="absolute">
    <xdr:from>
      <xdr:col>77</xdr:col>
      <xdr:colOff>114300</xdr:colOff>
      <xdr:row>109</xdr:row>
      <xdr:rowOff>9525</xdr:rowOff>
    </xdr:from>
    <xdr:to>
      <xdr:col>83</xdr:col>
      <xdr:colOff>38100</xdr:colOff>
      <xdr:row>109</xdr:row>
      <xdr:rowOff>276225</xdr:rowOff>
    </xdr:to>
    <xdr:pic macro="[0]!ExitApp">
      <xdr:nvPicPr>
        <xdr:cNvPr id="22" name="btnExitApp" descr="btn:ExitApp"/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077700" y="9191625"/>
          <a:ext cx="1028700" cy="266700"/>
        </a:xfrm>
        <a:prstGeom prst="roundRect">
          <a:avLst/>
        </a:prstGeom>
      </xdr:spPr>
    </xdr:pic>
    <xdr:clientData/>
  </xdr:twoCellAnchor>
  <xdr:twoCellAnchor editAs="absolute">
    <xdr:from>
      <xdr:col>59</xdr:col>
      <xdr:colOff>0</xdr:colOff>
      <xdr:row>82</xdr:row>
      <xdr:rowOff>19050</xdr:rowOff>
    </xdr:from>
    <xdr:to>
      <xdr:col>72</xdr:col>
      <xdr:colOff>95250</xdr:colOff>
      <xdr:row>94</xdr:row>
      <xdr:rowOff>171450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absolute">
    <xdr:from>
      <xdr:col>57</xdr:col>
      <xdr:colOff>19050</xdr:colOff>
      <xdr:row>99</xdr:row>
      <xdr:rowOff>0</xdr:rowOff>
    </xdr:from>
    <xdr:to>
      <xdr:col>83</xdr:col>
      <xdr:colOff>38100</xdr:colOff>
      <xdr:row>105</xdr:row>
      <xdr:rowOff>57150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3</xdr:row>
      <xdr:rowOff>9525</xdr:rowOff>
    </xdr:from>
    <xdr:to>
      <xdr:col>3</xdr:col>
      <xdr:colOff>362712</xdr:colOff>
      <xdr:row>8</xdr:row>
      <xdr:rowOff>10287</xdr:rowOff>
    </xdr:to>
    <xdr:pic>
      <xdr:nvPicPr>
        <xdr:cNvPr id="2" name="Picture 1" descr="logo_mark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61925"/>
          <a:ext cx="438912" cy="438912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13</xdr:row>
      <xdr:rowOff>19050</xdr:rowOff>
    </xdr:from>
    <xdr:to>
      <xdr:col>4</xdr:col>
      <xdr:colOff>76200</xdr:colOff>
      <xdr:row>13</xdr:row>
      <xdr:rowOff>323850</xdr:rowOff>
    </xdr:to>
    <xdr:pic>
      <xdr:nvPicPr>
        <xdr:cNvPr id="3" name="Picture 2" descr="nav_dashboard_normal.png">
          <a:hlinkClick xmlns:r="http://schemas.openxmlformats.org/officeDocument/2006/relationships" r:id="rId2" tooltip="Сводка"/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9100" y="1066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17</xdr:row>
      <xdr:rowOff>114300</xdr:rowOff>
    </xdr:from>
    <xdr:to>
      <xdr:col>4</xdr:col>
      <xdr:colOff>76200</xdr:colOff>
      <xdr:row>17</xdr:row>
      <xdr:rowOff>419100</xdr:rowOff>
    </xdr:to>
    <xdr:pic>
      <xdr:nvPicPr>
        <xdr:cNvPr id="4" name="Picture 3" descr="nav_sikn_active.png">
          <a:hlinkClick xmlns:r="http://schemas.openxmlformats.org/officeDocument/2006/relationships" r:id="rId4" tooltip="СИКН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9100" y="1924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21</xdr:row>
      <xdr:rowOff>152400</xdr:rowOff>
    </xdr:from>
    <xdr:to>
      <xdr:col>4</xdr:col>
      <xdr:colOff>76200</xdr:colOff>
      <xdr:row>21</xdr:row>
      <xdr:rowOff>457200</xdr:rowOff>
    </xdr:to>
    <xdr:pic>
      <xdr:nvPicPr>
        <xdr:cNvPr id="5" name="Picture 4" descr="nav_trends_normal.png">
          <a:hlinkClick xmlns:r="http://schemas.openxmlformats.org/officeDocument/2006/relationships" r:id="rId6" tooltip="Тренды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9100" y="27813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24</xdr:row>
      <xdr:rowOff>152400</xdr:rowOff>
    </xdr:from>
    <xdr:to>
      <xdr:col>4</xdr:col>
      <xdr:colOff>76200</xdr:colOff>
      <xdr:row>24</xdr:row>
      <xdr:rowOff>457200</xdr:rowOff>
    </xdr:to>
    <xdr:pic>
      <xdr:nvPicPr>
        <xdr:cNvPr id="6" name="Picture 5" descr="nav_alarms_normal.png">
          <a:hlinkClick xmlns:r="http://schemas.openxmlformats.org/officeDocument/2006/relationships" r:id="rId8" tooltip="Тревоги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9100" y="36385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27</xdr:row>
      <xdr:rowOff>152400</xdr:rowOff>
    </xdr:from>
    <xdr:to>
      <xdr:col>4</xdr:col>
      <xdr:colOff>76200</xdr:colOff>
      <xdr:row>28</xdr:row>
      <xdr:rowOff>133350</xdr:rowOff>
    </xdr:to>
    <xdr:pic>
      <xdr:nvPicPr>
        <xdr:cNvPr id="7" name="Picture 6" descr="nav_reports_normal.png">
          <a:hlinkClick xmlns:r="http://schemas.openxmlformats.org/officeDocument/2006/relationships" r:id="rId10" tooltip="Отчеты"/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19100" y="4495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32</xdr:row>
      <xdr:rowOff>152400</xdr:rowOff>
    </xdr:from>
    <xdr:to>
      <xdr:col>4</xdr:col>
      <xdr:colOff>76200</xdr:colOff>
      <xdr:row>32</xdr:row>
      <xdr:rowOff>457200</xdr:rowOff>
    </xdr:to>
    <xdr:pic>
      <xdr:nvPicPr>
        <xdr:cNvPr id="8" name="Picture 7" descr="nav_settings_normal.png">
          <a:hlinkClick xmlns:r="http://schemas.openxmlformats.org/officeDocument/2006/relationships" r:id="rId12" tooltip="Настройки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9100" y="5353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14</xdr:col>
      <xdr:colOff>428625</xdr:colOff>
      <xdr:row>24</xdr:row>
      <xdr:rowOff>133350</xdr:rowOff>
    </xdr:from>
    <xdr:to>
      <xdr:col>14</xdr:col>
      <xdr:colOff>1343025</xdr:colOff>
      <xdr:row>27</xdr:row>
      <xdr:rowOff>190500</xdr:rowOff>
    </xdr:to>
    <xdr:pic>
      <xdr:nvPicPr>
        <xdr:cNvPr id="9" name="Picture 8" descr="nav_sikn_normal.png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715125" y="3619500"/>
          <a:ext cx="914400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3</xdr:row>
      <xdr:rowOff>9525</xdr:rowOff>
    </xdr:from>
    <xdr:to>
      <xdr:col>3</xdr:col>
      <xdr:colOff>362712</xdr:colOff>
      <xdr:row>8</xdr:row>
      <xdr:rowOff>10287</xdr:rowOff>
    </xdr:to>
    <xdr:pic>
      <xdr:nvPicPr>
        <xdr:cNvPr id="2" name="Picture 1" descr="logo_mark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61925"/>
          <a:ext cx="438912" cy="438912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13</xdr:row>
      <xdr:rowOff>19050</xdr:rowOff>
    </xdr:from>
    <xdr:to>
      <xdr:col>4</xdr:col>
      <xdr:colOff>76200</xdr:colOff>
      <xdr:row>13</xdr:row>
      <xdr:rowOff>323850</xdr:rowOff>
    </xdr:to>
    <xdr:pic>
      <xdr:nvPicPr>
        <xdr:cNvPr id="3" name="Picture 2" descr="nav_dashboard_normal.png">
          <a:hlinkClick xmlns:r="http://schemas.openxmlformats.org/officeDocument/2006/relationships" r:id="rId2" tooltip="Сводка"/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9100" y="1066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16</xdr:row>
      <xdr:rowOff>152400</xdr:rowOff>
    </xdr:from>
    <xdr:to>
      <xdr:col>4</xdr:col>
      <xdr:colOff>76200</xdr:colOff>
      <xdr:row>16</xdr:row>
      <xdr:rowOff>457200</xdr:rowOff>
    </xdr:to>
    <xdr:pic>
      <xdr:nvPicPr>
        <xdr:cNvPr id="4" name="Picture 3" descr="nav_sikn_normal.png">
          <a:hlinkClick xmlns:r="http://schemas.openxmlformats.org/officeDocument/2006/relationships" r:id="rId4" tooltip="СИКН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9100" y="1924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20</xdr:row>
      <xdr:rowOff>114300</xdr:rowOff>
    </xdr:from>
    <xdr:to>
      <xdr:col>4</xdr:col>
      <xdr:colOff>76200</xdr:colOff>
      <xdr:row>20</xdr:row>
      <xdr:rowOff>419100</xdr:rowOff>
    </xdr:to>
    <xdr:pic>
      <xdr:nvPicPr>
        <xdr:cNvPr id="5" name="Picture 4" descr="nav_trends_active.png">
          <a:hlinkClick xmlns:r="http://schemas.openxmlformats.org/officeDocument/2006/relationships" r:id="rId6" tooltip="Тренды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9100" y="27813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24</xdr:row>
      <xdr:rowOff>152400</xdr:rowOff>
    </xdr:from>
    <xdr:to>
      <xdr:col>4</xdr:col>
      <xdr:colOff>76200</xdr:colOff>
      <xdr:row>24</xdr:row>
      <xdr:rowOff>457200</xdr:rowOff>
    </xdr:to>
    <xdr:pic>
      <xdr:nvPicPr>
        <xdr:cNvPr id="6" name="Picture 5" descr="nav_alarms_normal.png">
          <a:hlinkClick xmlns:r="http://schemas.openxmlformats.org/officeDocument/2006/relationships" r:id="rId8" tooltip="Тревоги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9100" y="36385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27</xdr:row>
      <xdr:rowOff>152400</xdr:rowOff>
    </xdr:from>
    <xdr:to>
      <xdr:col>4</xdr:col>
      <xdr:colOff>76200</xdr:colOff>
      <xdr:row>28</xdr:row>
      <xdr:rowOff>133350</xdr:rowOff>
    </xdr:to>
    <xdr:pic>
      <xdr:nvPicPr>
        <xdr:cNvPr id="7" name="Picture 6" descr="nav_reports_normal.png">
          <a:hlinkClick xmlns:r="http://schemas.openxmlformats.org/officeDocument/2006/relationships" r:id="rId10" tooltip="Отчеты"/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19100" y="4495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32</xdr:row>
      <xdr:rowOff>152400</xdr:rowOff>
    </xdr:from>
    <xdr:to>
      <xdr:col>4</xdr:col>
      <xdr:colOff>76200</xdr:colOff>
      <xdr:row>32</xdr:row>
      <xdr:rowOff>457200</xdr:rowOff>
    </xdr:to>
    <xdr:pic>
      <xdr:nvPicPr>
        <xdr:cNvPr id="8" name="Picture 7" descr="nav_settings_normal.png">
          <a:hlinkClick xmlns:r="http://schemas.openxmlformats.org/officeDocument/2006/relationships" r:id="rId12" tooltip="Настройки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9100" y="5353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14</xdr:col>
      <xdr:colOff>428625</xdr:colOff>
      <xdr:row>24</xdr:row>
      <xdr:rowOff>133350</xdr:rowOff>
    </xdr:from>
    <xdr:to>
      <xdr:col>14</xdr:col>
      <xdr:colOff>1343025</xdr:colOff>
      <xdr:row>27</xdr:row>
      <xdr:rowOff>190500</xdr:rowOff>
    </xdr:to>
    <xdr:pic>
      <xdr:nvPicPr>
        <xdr:cNvPr id="9" name="Picture 8" descr="nav_trends_normal.png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715125" y="3619500"/>
          <a:ext cx="914400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3</xdr:row>
      <xdr:rowOff>9525</xdr:rowOff>
    </xdr:from>
    <xdr:to>
      <xdr:col>3</xdr:col>
      <xdr:colOff>362712</xdr:colOff>
      <xdr:row>8</xdr:row>
      <xdr:rowOff>10287</xdr:rowOff>
    </xdr:to>
    <xdr:pic>
      <xdr:nvPicPr>
        <xdr:cNvPr id="2" name="Picture 1" descr="logo_mark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61925"/>
          <a:ext cx="438912" cy="438912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13</xdr:row>
      <xdr:rowOff>19050</xdr:rowOff>
    </xdr:from>
    <xdr:to>
      <xdr:col>4</xdr:col>
      <xdr:colOff>76200</xdr:colOff>
      <xdr:row>13</xdr:row>
      <xdr:rowOff>323850</xdr:rowOff>
    </xdr:to>
    <xdr:pic>
      <xdr:nvPicPr>
        <xdr:cNvPr id="3" name="Picture 2" descr="nav_dashboard_normal.png">
          <a:hlinkClick xmlns:r="http://schemas.openxmlformats.org/officeDocument/2006/relationships" r:id="rId2" tooltip="Сводка"/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9100" y="1066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16</xdr:row>
      <xdr:rowOff>152400</xdr:rowOff>
    </xdr:from>
    <xdr:to>
      <xdr:col>4</xdr:col>
      <xdr:colOff>76200</xdr:colOff>
      <xdr:row>16</xdr:row>
      <xdr:rowOff>457200</xdr:rowOff>
    </xdr:to>
    <xdr:pic>
      <xdr:nvPicPr>
        <xdr:cNvPr id="4" name="Picture 3" descr="nav_sikn_normal.png">
          <a:hlinkClick xmlns:r="http://schemas.openxmlformats.org/officeDocument/2006/relationships" r:id="rId4" tooltip="СИКН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9100" y="1924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19</xdr:row>
      <xdr:rowOff>152400</xdr:rowOff>
    </xdr:from>
    <xdr:to>
      <xdr:col>4</xdr:col>
      <xdr:colOff>76200</xdr:colOff>
      <xdr:row>19</xdr:row>
      <xdr:rowOff>457200</xdr:rowOff>
    </xdr:to>
    <xdr:pic>
      <xdr:nvPicPr>
        <xdr:cNvPr id="5" name="Picture 4" descr="nav_trends_normal.png">
          <a:hlinkClick xmlns:r="http://schemas.openxmlformats.org/officeDocument/2006/relationships" r:id="rId6" tooltip="Тренды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9100" y="27813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23</xdr:row>
      <xdr:rowOff>114300</xdr:rowOff>
    </xdr:from>
    <xdr:to>
      <xdr:col>4</xdr:col>
      <xdr:colOff>76200</xdr:colOff>
      <xdr:row>23</xdr:row>
      <xdr:rowOff>419100</xdr:rowOff>
    </xdr:to>
    <xdr:pic>
      <xdr:nvPicPr>
        <xdr:cNvPr id="6" name="Picture 5" descr="nav_alarms_active.png">
          <a:hlinkClick xmlns:r="http://schemas.openxmlformats.org/officeDocument/2006/relationships" r:id="rId8" tooltip="Тревоги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9100" y="36385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27</xdr:row>
      <xdr:rowOff>152400</xdr:rowOff>
    </xdr:from>
    <xdr:to>
      <xdr:col>4</xdr:col>
      <xdr:colOff>76200</xdr:colOff>
      <xdr:row>28</xdr:row>
      <xdr:rowOff>133350</xdr:rowOff>
    </xdr:to>
    <xdr:pic>
      <xdr:nvPicPr>
        <xdr:cNvPr id="7" name="Picture 6" descr="nav_reports_normal.png">
          <a:hlinkClick xmlns:r="http://schemas.openxmlformats.org/officeDocument/2006/relationships" r:id="rId10" tooltip="Отчеты"/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19100" y="4495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32</xdr:row>
      <xdr:rowOff>152400</xdr:rowOff>
    </xdr:from>
    <xdr:to>
      <xdr:col>4</xdr:col>
      <xdr:colOff>76200</xdr:colOff>
      <xdr:row>32</xdr:row>
      <xdr:rowOff>457200</xdr:rowOff>
    </xdr:to>
    <xdr:pic>
      <xdr:nvPicPr>
        <xdr:cNvPr id="8" name="Picture 7" descr="nav_settings_normal.png">
          <a:hlinkClick xmlns:r="http://schemas.openxmlformats.org/officeDocument/2006/relationships" r:id="rId12" tooltip="Настройки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9100" y="5353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14</xdr:col>
      <xdr:colOff>428625</xdr:colOff>
      <xdr:row>23</xdr:row>
      <xdr:rowOff>95250</xdr:rowOff>
    </xdr:from>
    <xdr:to>
      <xdr:col>14</xdr:col>
      <xdr:colOff>1343025</xdr:colOff>
      <xdr:row>27</xdr:row>
      <xdr:rowOff>190500</xdr:rowOff>
    </xdr:to>
    <xdr:pic>
      <xdr:nvPicPr>
        <xdr:cNvPr id="9" name="Picture 8" descr="nav_alarms_normal.png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715125" y="3619500"/>
          <a:ext cx="914400" cy="914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3</xdr:row>
      <xdr:rowOff>9525</xdr:rowOff>
    </xdr:from>
    <xdr:to>
      <xdr:col>3</xdr:col>
      <xdr:colOff>362712</xdr:colOff>
      <xdr:row>8</xdr:row>
      <xdr:rowOff>10287</xdr:rowOff>
    </xdr:to>
    <xdr:pic>
      <xdr:nvPicPr>
        <xdr:cNvPr id="2" name="Picture 1" descr="logo_mark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61925"/>
          <a:ext cx="438912" cy="438912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13</xdr:row>
      <xdr:rowOff>19050</xdr:rowOff>
    </xdr:from>
    <xdr:to>
      <xdr:col>4</xdr:col>
      <xdr:colOff>76200</xdr:colOff>
      <xdr:row>13</xdr:row>
      <xdr:rowOff>323850</xdr:rowOff>
    </xdr:to>
    <xdr:pic>
      <xdr:nvPicPr>
        <xdr:cNvPr id="3" name="Picture 2" descr="nav_dashboard_normal.png">
          <a:hlinkClick xmlns:r="http://schemas.openxmlformats.org/officeDocument/2006/relationships" r:id="rId2" tooltip="Сводка"/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9100" y="1066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16</xdr:row>
      <xdr:rowOff>152400</xdr:rowOff>
    </xdr:from>
    <xdr:to>
      <xdr:col>4</xdr:col>
      <xdr:colOff>76200</xdr:colOff>
      <xdr:row>16</xdr:row>
      <xdr:rowOff>457200</xdr:rowOff>
    </xdr:to>
    <xdr:pic>
      <xdr:nvPicPr>
        <xdr:cNvPr id="4" name="Picture 3" descr="nav_sikn_normal.png">
          <a:hlinkClick xmlns:r="http://schemas.openxmlformats.org/officeDocument/2006/relationships" r:id="rId4" tooltip="СИКН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9100" y="1924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19</xdr:row>
      <xdr:rowOff>152400</xdr:rowOff>
    </xdr:from>
    <xdr:to>
      <xdr:col>4</xdr:col>
      <xdr:colOff>76200</xdr:colOff>
      <xdr:row>19</xdr:row>
      <xdr:rowOff>457200</xdr:rowOff>
    </xdr:to>
    <xdr:pic>
      <xdr:nvPicPr>
        <xdr:cNvPr id="5" name="Picture 4" descr="nav_trends_normal.png">
          <a:hlinkClick xmlns:r="http://schemas.openxmlformats.org/officeDocument/2006/relationships" r:id="rId6" tooltip="Тренды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9100" y="27813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22</xdr:row>
      <xdr:rowOff>152400</xdr:rowOff>
    </xdr:from>
    <xdr:to>
      <xdr:col>4</xdr:col>
      <xdr:colOff>76200</xdr:colOff>
      <xdr:row>22</xdr:row>
      <xdr:rowOff>457200</xdr:rowOff>
    </xdr:to>
    <xdr:pic>
      <xdr:nvPicPr>
        <xdr:cNvPr id="6" name="Picture 5" descr="nav_alarms_normal.png">
          <a:hlinkClick xmlns:r="http://schemas.openxmlformats.org/officeDocument/2006/relationships" r:id="rId8" tooltip="Тревоги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9100" y="36385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26</xdr:row>
      <xdr:rowOff>114300</xdr:rowOff>
    </xdr:from>
    <xdr:to>
      <xdr:col>4</xdr:col>
      <xdr:colOff>76200</xdr:colOff>
      <xdr:row>27</xdr:row>
      <xdr:rowOff>133350</xdr:rowOff>
    </xdr:to>
    <xdr:pic>
      <xdr:nvPicPr>
        <xdr:cNvPr id="7" name="Picture 6" descr="nav_reports_active.png">
          <a:hlinkClick xmlns:r="http://schemas.openxmlformats.org/officeDocument/2006/relationships" r:id="rId10" tooltip="Отчеты"/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19100" y="4495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32</xdr:row>
      <xdr:rowOff>152400</xdr:rowOff>
    </xdr:from>
    <xdr:to>
      <xdr:col>4</xdr:col>
      <xdr:colOff>76200</xdr:colOff>
      <xdr:row>32</xdr:row>
      <xdr:rowOff>457200</xdr:rowOff>
    </xdr:to>
    <xdr:pic>
      <xdr:nvPicPr>
        <xdr:cNvPr id="8" name="Picture 7" descr="nav_settings_normal.png">
          <a:hlinkClick xmlns:r="http://schemas.openxmlformats.org/officeDocument/2006/relationships" r:id="rId12" tooltip="Настройки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9100" y="5353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14</xdr:col>
      <xdr:colOff>428625</xdr:colOff>
      <xdr:row>22</xdr:row>
      <xdr:rowOff>133350</xdr:rowOff>
    </xdr:from>
    <xdr:to>
      <xdr:col>14</xdr:col>
      <xdr:colOff>1343025</xdr:colOff>
      <xdr:row>26</xdr:row>
      <xdr:rowOff>152400</xdr:rowOff>
    </xdr:to>
    <xdr:pic>
      <xdr:nvPicPr>
        <xdr:cNvPr id="9" name="Picture 8" descr="nav_reports_normal.png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715125" y="3619500"/>
          <a:ext cx="914400" cy="914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3</xdr:row>
      <xdr:rowOff>9525</xdr:rowOff>
    </xdr:from>
    <xdr:to>
      <xdr:col>3</xdr:col>
      <xdr:colOff>362712</xdr:colOff>
      <xdr:row>8</xdr:row>
      <xdr:rowOff>10287</xdr:rowOff>
    </xdr:to>
    <xdr:pic>
      <xdr:nvPicPr>
        <xdr:cNvPr id="2" name="Picture 1" descr="logo_mark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61925"/>
          <a:ext cx="438912" cy="438912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13</xdr:row>
      <xdr:rowOff>152400</xdr:rowOff>
    </xdr:from>
    <xdr:to>
      <xdr:col>4</xdr:col>
      <xdr:colOff>76200</xdr:colOff>
      <xdr:row>16</xdr:row>
      <xdr:rowOff>57150</xdr:rowOff>
    </xdr:to>
    <xdr:pic>
      <xdr:nvPicPr>
        <xdr:cNvPr id="3" name="Picture 2" descr="nav_dashboard_normal.png">
          <a:hlinkClick xmlns:r="http://schemas.openxmlformats.org/officeDocument/2006/relationships" r:id="rId2" tooltip="Сводка"/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9100" y="1066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23</xdr:row>
      <xdr:rowOff>152400</xdr:rowOff>
    </xdr:from>
    <xdr:to>
      <xdr:col>4</xdr:col>
      <xdr:colOff>76200</xdr:colOff>
      <xdr:row>27</xdr:row>
      <xdr:rowOff>152400</xdr:rowOff>
    </xdr:to>
    <xdr:pic>
      <xdr:nvPicPr>
        <xdr:cNvPr id="4" name="Picture 3" descr="nav_sikn_normal.png">
          <a:hlinkClick xmlns:r="http://schemas.openxmlformats.org/officeDocument/2006/relationships" r:id="rId4" tooltip="СИКН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9100" y="1924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33</xdr:row>
      <xdr:rowOff>152400</xdr:rowOff>
    </xdr:from>
    <xdr:to>
      <xdr:col>4</xdr:col>
      <xdr:colOff>76200</xdr:colOff>
      <xdr:row>33</xdr:row>
      <xdr:rowOff>457200</xdr:rowOff>
    </xdr:to>
    <xdr:pic>
      <xdr:nvPicPr>
        <xdr:cNvPr id="5" name="Picture 4" descr="nav_trends_normal.png">
          <a:hlinkClick xmlns:r="http://schemas.openxmlformats.org/officeDocument/2006/relationships" r:id="rId6" tooltip="Тренды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9100" y="27813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40</xdr:row>
      <xdr:rowOff>152400</xdr:rowOff>
    </xdr:from>
    <xdr:to>
      <xdr:col>4</xdr:col>
      <xdr:colOff>76200</xdr:colOff>
      <xdr:row>42</xdr:row>
      <xdr:rowOff>171450</xdr:rowOff>
    </xdr:to>
    <xdr:pic>
      <xdr:nvPicPr>
        <xdr:cNvPr id="6" name="Picture 5" descr="nav_alarms_normal.png">
          <a:hlinkClick xmlns:r="http://schemas.openxmlformats.org/officeDocument/2006/relationships" r:id="rId8" tooltip="Тревоги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9100" y="36385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48</xdr:row>
      <xdr:rowOff>152400</xdr:rowOff>
    </xdr:from>
    <xdr:to>
      <xdr:col>4</xdr:col>
      <xdr:colOff>76200</xdr:colOff>
      <xdr:row>50</xdr:row>
      <xdr:rowOff>133350</xdr:rowOff>
    </xdr:to>
    <xdr:pic>
      <xdr:nvPicPr>
        <xdr:cNvPr id="7" name="Picture 6" descr="nav_reports_normal.png">
          <a:hlinkClick xmlns:r="http://schemas.openxmlformats.org/officeDocument/2006/relationships" r:id="rId10" tooltip="Отчеты"/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19100" y="449580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3</xdr:col>
      <xdr:colOff>171450</xdr:colOff>
      <xdr:row>57</xdr:row>
      <xdr:rowOff>114300</xdr:rowOff>
    </xdr:from>
    <xdr:to>
      <xdr:col>4</xdr:col>
      <xdr:colOff>76200</xdr:colOff>
      <xdr:row>59</xdr:row>
      <xdr:rowOff>114300</xdr:rowOff>
    </xdr:to>
    <xdr:pic>
      <xdr:nvPicPr>
        <xdr:cNvPr id="8" name="Picture 7" descr="nav_settings_active.png">
          <a:hlinkClick xmlns:r="http://schemas.openxmlformats.org/officeDocument/2006/relationships" r:id="rId12" tooltip="Настройки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9100" y="53530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40</xdr:col>
      <xdr:colOff>304800</xdr:colOff>
      <xdr:row>42</xdr:row>
      <xdr:rowOff>19050</xdr:rowOff>
    </xdr:from>
    <xdr:to>
      <xdr:col>42</xdr:col>
      <xdr:colOff>0</xdr:colOff>
      <xdr:row>45</xdr:row>
      <xdr:rowOff>57150</xdr:rowOff>
    </xdr:to>
    <xdr:pic macro="[0]!ImportData">
      <xdr:nvPicPr>
        <xdr:cNvPr id="9" name="btnImportData" descr="btn:ImportData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1258550" y="3790950"/>
          <a:ext cx="1752600" cy="323850"/>
        </a:xfrm>
        <a:prstGeom prst="roundRect">
          <a:avLst/>
        </a:prstGeom>
      </xdr:spPr>
    </xdr:pic>
    <xdr:clientData/>
  </xdr:twoCellAnchor>
  <xdr:twoCellAnchor editAs="absolute">
    <xdr:from>
      <xdr:col>40</xdr:col>
      <xdr:colOff>304800</xdr:colOff>
      <xdr:row>46</xdr:row>
      <xdr:rowOff>0</xdr:rowOff>
    </xdr:from>
    <xdr:to>
      <xdr:col>42</xdr:col>
      <xdr:colOff>0</xdr:colOff>
      <xdr:row>48</xdr:row>
      <xdr:rowOff>209550</xdr:rowOff>
    </xdr:to>
    <xdr:pic macro="[0]!ClearDatabase">
      <xdr:nvPicPr>
        <xdr:cNvPr id="10" name="btnClearDatabase" descr="btn:ClearDatabase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58550" y="4229100"/>
          <a:ext cx="1752600" cy="323850"/>
        </a:xfrm>
        <a:prstGeom prst="round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Dash">
    <tabColor rgb="FF4CC35A"/>
    <pageSetUpPr fitToPage="1"/>
  </sheetPr>
  <dimension ref="A1:XFD112"/>
  <sheetViews>
    <sheetView showGridLines="0" showRowColHeaders="0" tabSelected="1" zoomScale="85" zoomScaleNormal="85" workbookViewId="0"/>
  </sheetViews>
  <sheetFormatPr defaultRowHeight="15"/>
  <cols>
    <col min="1" max="1" width="1.42578125" style="1" customWidth="1"/>
    <col min="2" max="2" width="0.85546875" style="1" customWidth="1"/>
    <col min="3" max="3" width="1.42578125" style="1" customWidth="1"/>
    <col min="4" max="4" width="4.5703125" style="1" customWidth="1"/>
    <col min="5" max="5" width="1.42578125" style="1" customWidth="1"/>
    <col min="6" max="6" width="3.7109375" style="1" customWidth="1"/>
    <col min="7" max="7" width="1.42578125" style="1" customWidth="1"/>
    <col min="8" max="8" width="0.85546875" style="1" customWidth="1"/>
    <col min="9" max="9" width="2.28515625" style="1" customWidth="1"/>
    <col min="10" max="10" width="2" style="1" customWidth="1"/>
    <col min="11" max="11" width="5.7109375" style="1" customWidth="1"/>
    <col min="12" max="12" width="2" style="1" customWidth="1"/>
    <col min="13" max="13" width="1.42578125" style="1" customWidth="1"/>
    <col min="14" max="14" width="1.140625" style="1" customWidth="1"/>
    <col min="15" max="15" width="2.28515625" style="1" customWidth="1"/>
    <col min="16" max="16" width="18.85546875" style="1" customWidth="1"/>
    <col min="17" max="17" width="1.7109375" style="1" customWidth="1"/>
    <col min="18" max="18" width="2.85546875" style="1" customWidth="1"/>
    <col min="19" max="19" width="0.85546875" style="1" customWidth="1"/>
    <col min="20" max="20" width="0.28515625" style="1" customWidth="1"/>
    <col min="21" max="21" width="1.7109375" style="1" customWidth="1"/>
    <col min="22" max="22" width="1.42578125" style="1" customWidth="1"/>
    <col min="23" max="23" width="0.5703125" style="1" customWidth="1"/>
    <col min="24" max="24" width="6.28515625" style="1" customWidth="1"/>
    <col min="25" max="25" width="2.85546875" style="1" customWidth="1"/>
    <col min="26" max="26" width="3.140625" style="1" customWidth="1"/>
    <col min="27" max="27" width="7.7109375" style="1" customWidth="1"/>
    <col min="28" max="28" width="4.85546875" style="1" customWidth="1"/>
    <col min="29" max="29" width="1.42578125" style="1" customWidth="1"/>
    <col min="30" max="30" width="0.28515625" style="1" customWidth="1"/>
    <col min="31" max="31" width="1.42578125" style="1" customWidth="1"/>
    <col min="32" max="32" width="0.85546875" style="1" customWidth="1"/>
    <col min="33" max="33" width="1.140625" style="1" customWidth="1"/>
    <col min="34" max="34" width="0.85546875" style="1" customWidth="1"/>
    <col min="35" max="35" width="8.28515625" style="1" customWidth="1"/>
    <col min="36" max="36" width="0.85546875" style="1" customWidth="1"/>
    <col min="37" max="37" width="3.7109375" style="1" customWidth="1"/>
    <col min="38" max="38" width="1.140625" style="1" customWidth="1"/>
    <col min="39" max="39" width="8.5703125" style="1" customWidth="1"/>
    <col min="40" max="41" width="0.85546875" style="1" customWidth="1"/>
    <col min="42" max="42" width="2" style="1" customWidth="1"/>
    <col min="43" max="43" width="1.140625" style="1" customWidth="1"/>
    <col min="44" max="44" width="5.42578125" style="1" customWidth="1"/>
    <col min="45" max="46" width="1.140625" style="1" customWidth="1"/>
    <col min="47" max="47" width="2.5703125" style="1" customWidth="1"/>
    <col min="48" max="48" width="4.28515625" style="1" customWidth="1"/>
    <col min="49" max="49" width="0.28515625" style="1" customWidth="1"/>
    <col min="50" max="50" width="0.85546875" style="1" customWidth="1"/>
    <col min="51" max="51" width="1.140625" style="1" customWidth="1"/>
    <col min="52" max="52" width="8.28515625" style="1" customWidth="1"/>
    <col min="53" max="53" width="1.7109375" style="1" customWidth="1"/>
    <col min="54" max="54" width="2" style="1" customWidth="1"/>
    <col min="55" max="55" width="0.5703125" style="1" customWidth="1"/>
    <col min="56" max="56" width="1.42578125" style="1" customWidth="1"/>
    <col min="57" max="57" width="0.28515625" style="1" customWidth="1"/>
    <col min="58" max="58" width="0.85546875" style="1" customWidth="1"/>
    <col min="59" max="59" width="0.28515625" style="1" customWidth="1"/>
    <col min="60" max="60" width="0.5703125" style="1" customWidth="1"/>
    <col min="61" max="61" width="0.28515625" style="1" customWidth="1"/>
    <col min="62" max="62" width="2" style="1" customWidth="1"/>
    <col min="63" max="63" width="1.42578125" style="1" customWidth="1"/>
    <col min="64" max="64" width="2.85546875" style="1" customWidth="1"/>
    <col min="65" max="66" width="0.85546875" style="1" customWidth="1"/>
    <col min="67" max="67" width="0.28515625" style="1" customWidth="1"/>
    <col min="68" max="68" width="6" style="1" customWidth="1"/>
    <col min="69" max="69" width="0.28515625" style="1" customWidth="1"/>
    <col min="70" max="70" width="0.5703125" style="1" customWidth="1"/>
    <col min="71" max="71" width="1.140625" style="1" customWidth="1"/>
    <col min="72" max="72" width="0.85546875" style="1" customWidth="1"/>
    <col min="73" max="73" width="2.28515625" style="1" customWidth="1"/>
    <col min="74" max="74" width="2" style="1" customWidth="1"/>
    <col min="75" max="75" width="1.42578125" style="1" customWidth="1"/>
    <col min="76" max="76" width="3.140625" style="1" customWidth="1"/>
    <col min="77" max="77" width="1.140625" style="1" customWidth="1"/>
    <col min="78" max="78" width="7.7109375" style="1" customWidth="1"/>
    <col min="79" max="79" width="6" style="1" customWidth="1"/>
    <col min="80" max="80" width="2" style="1" customWidth="1"/>
    <col min="81" max="83" width="0.28515625" style="1" customWidth="1"/>
    <col min="84" max="84" width="1.140625" style="1" customWidth="1"/>
    <col min="85" max="85" width="1.42578125" style="1" customWidth="1"/>
    <col min="86" max="88" width="8.7109375" hidden="1" customWidth="1"/>
    <col min="89" max="16384" width="9.7109375" style="1" customWidth="1"/>
  </cols>
  <sheetData>
    <row r="1" spans="1:87" ht="9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</row>
    <row r="2" spans="1:87" ht="1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3">
        <f>TODAY()</f>
        <v>46302.0</v>
      </c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2"/>
      <c r="CF2" s="2"/>
      <c r="CG2" s="2"/>
    </row>
    <row r="3" spans="1:87" ht="1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4" t="str">
        <f>cfg_Title</f>
        <v>СОДЕРЖАНИЕ ЛЕГКОЛЕТУЧИХ ХЛОРОРГАНИЧЕСКИХ СОЕДИНЕНИЙ ПО СИКН</v>
      </c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2"/>
      <c r="BL3" s="2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2"/>
      <c r="CF3" s="2"/>
      <c r="CG3" s="2"/>
    </row>
    <row r="4" spans="1:87" ht="3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2"/>
      <c r="BL4" s="2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2"/>
      <c r="CF4" s="2"/>
      <c r="CG4" s="2"/>
    </row>
    <row r="5" spans="1:87" ht="18" customHeight="1">
      <c r="A5" s="2"/>
      <c r="B5" s="2"/>
      <c r="C5" s="2"/>
      <c r="D5" s="2"/>
      <c r="E5" s="2"/>
      <c r="F5" s="6" t="s">
        <v>65</v>
      </c>
      <c r="G5" s="6"/>
      <c r="H5" s="6"/>
      <c r="I5" s="6"/>
      <c r="J5" s="6"/>
      <c r="K5" s="6"/>
      <c r="L5" s="6"/>
      <c r="M5" s="6"/>
      <c r="N5" s="2"/>
      <c r="O5" s="5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2"/>
      <c r="BL5" s="2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2"/>
      <c r="CF5" s="2"/>
      <c r="CG5" s="2"/>
    </row>
    <row r="6" spans="1:87" ht="1.5" customHeight="1">
      <c r="A6" s="2"/>
      <c r="B6" s="2"/>
      <c r="C6" s="2"/>
      <c r="D6" s="2"/>
      <c r="E6" s="2"/>
      <c r="F6" s="6"/>
      <c r="G6" s="6"/>
      <c r="H6" s="6"/>
      <c r="I6" s="6"/>
      <c r="J6" s="6"/>
      <c r="K6" s="6"/>
      <c r="L6" s="6"/>
      <c r="M6" s="6"/>
      <c r="N6" s="2"/>
      <c r="O6" s="5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</row>
    <row r="7" spans="1:87" ht="1.5" customHeight="1">
      <c r="A7" s="2"/>
      <c r="B7" s="2"/>
      <c r="C7" s="2"/>
      <c r="D7" s="2"/>
      <c r="E7" s="2"/>
      <c r="F7" s="6"/>
      <c r="G7" s="6"/>
      <c r="H7" s="6"/>
      <c r="I7" s="6"/>
      <c r="J7" s="6"/>
      <c r="K7" s="6"/>
      <c r="L7" s="6"/>
      <c r="M7" s="6"/>
      <c r="N7" s="2"/>
      <c r="O7" s="5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</row>
    <row r="8" spans="1:87" ht="10.5" customHeight="1">
      <c r="A8" s="2"/>
      <c r="B8" s="2"/>
      <c r="C8" s="2"/>
      <c r="D8" s="2"/>
      <c r="E8" s="2"/>
      <c r="F8" s="6"/>
      <c r="G8" s="6"/>
      <c r="H8" s="6"/>
      <c r="I8" s="6"/>
      <c r="J8" s="6"/>
      <c r="K8" s="6"/>
      <c r="L8" s="6"/>
      <c r="M8" s="6"/>
      <c r="N8" s="2"/>
      <c r="O8" s="5"/>
      <c r="P8" s="7" t="str">
        <f>cfg_Subtitle</f>
        <v>ОПЕРАТИВНАЯ СВОДКА</v>
      </c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2"/>
      <c r="BE8" s="2"/>
      <c r="BF8" s="2"/>
      <c r="BG8" s="2"/>
      <c r="BH8" s="8" t="str">
        <f>IF(N(sys_LastImport)=0,"Данные еще не загружались","Обновление: "&amp;IF(NOW()-sys_LastImport&lt;1/1440,"только что",IF(NOW()-sys_LastImport&lt;1/24,INT((NOW()-sys_LastImport)*1440)&amp;" мин назад",IF(NOW()-sys_LastImport&lt;1,INT((NOW()-sys_LastImport)*24)&amp;" ч "&amp;MOD(INT((NOW()-sys_LastImport)*1440),60)&amp;" мин назад",INT(NOW()-sys_LastImport)&amp;" дн "&amp;MOD(INT((NOW()-sys_LastImport)*24),24)&amp;" ч назад"))))</f>
        <v>Данные еще не загружались</v>
      </c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9" t="s">
        <v>66</v>
      </c>
      <c r="CC8" s="9"/>
      <c r="CD8" s="9"/>
      <c r="CE8" s="9"/>
      <c r="CF8" s="2"/>
      <c r="CG8" s="2"/>
    </row>
    <row r="9" spans="1:87" ht="6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5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2"/>
      <c r="BE9" s="2"/>
      <c r="BF9" s="2"/>
      <c r="BG9" s="2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9"/>
      <c r="CC9" s="9"/>
      <c r="CD9" s="9"/>
      <c r="CE9" s="9"/>
      <c r="CF9" s="2"/>
      <c r="CG9" s="2"/>
    </row>
    <row r="10" spans="1:87" ht="1.5" customHeigh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5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</row>
    <row r="11" spans="1:87" ht="6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</row>
    <row r="12" spans="1:87" ht="9" customHeight="1"/>
    <row r="13" spans="1:87" ht="6" customHeight="1">
      <c r="B13" s="11"/>
      <c r="C13" s="12"/>
      <c r="D13" s="12"/>
      <c r="E13" s="12"/>
      <c r="F13" s="12"/>
      <c r="G13" s="12"/>
      <c r="H13" s="13"/>
      <c r="J13" s="14" t="s">
        <v>73</v>
      </c>
      <c r="K13" s="14"/>
      <c r="L13" s="14"/>
      <c r="M13" s="15"/>
      <c r="N13" s="15"/>
      <c r="O13" s="15"/>
      <c r="P13" s="15"/>
      <c r="Q13" s="15"/>
      <c r="R13" s="16" t="s">
        <v>74</v>
      </c>
      <c r="S13" s="16"/>
      <c r="W13" s="14" t="s">
        <v>75</v>
      </c>
      <c r="X13" s="14"/>
      <c r="Y13" s="14"/>
      <c r="Z13" s="14"/>
      <c r="AA13" s="17" t="str">
        <f>IF(c_DataDate="","—",c_DataDate)</f>
        <v>—</v>
      </c>
      <c r="AB13" s="17"/>
      <c r="AC13" s="17"/>
      <c r="AD13" s="17"/>
      <c r="AH13" s="14" t="s">
        <v>76</v>
      </c>
      <c r="AI13" s="14"/>
      <c r="AJ13" s="14"/>
      <c r="AK13" s="14"/>
      <c r="AL13" s="18" t="str">
        <f>IF(N(sys_LastImport)=0,"—",sys_LastImport)</f>
        <v>—</v>
      </c>
      <c r="AM13" s="18"/>
      <c r="AN13" s="18"/>
      <c r="AO13" s="18"/>
      <c r="AP13" s="18"/>
      <c r="AQ13" s="18"/>
      <c r="AR13" s="18"/>
      <c r="AS13" s="18"/>
      <c r="AT13" s="18"/>
      <c r="AV13" s="14" t="s">
        <v>77</v>
      </c>
      <c r="AW13" s="14"/>
      <c r="AX13" s="14"/>
      <c r="AY13" s="14"/>
      <c r="AZ13" s="19" t="str">
        <f>IF(sys_LastFile="","—",IF(LEN(sys_LastFile)&gt;31,LEFT(sys_LastFile,29)&amp;"…",sys_LastFile))</f>
        <v>—</v>
      </c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</row>
    <row r="14" spans="1:87" ht="19.5" customHeight="1">
      <c r="B14" s="20"/>
      <c r="C14" s="21"/>
      <c r="D14" s="22"/>
      <c r="E14" s="22"/>
      <c r="F14" s="22"/>
      <c r="G14" s="23"/>
      <c r="H14" s="24"/>
      <c r="J14" s="14"/>
      <c r="K14" s="14"/>
      <c r="L14" s="14"/>
      <c r="M14" s="15"/>
      <c r="N14" s="15"/>
      <c r="O14" s="15"/>
      <c r="P14" s="15"/>
      <c r="Q14" s="15"/>
      <c r="R14" s="16"/>
      <c r="S14" s="16"/>
      <c r="W14" s="14"/>
      <c r="X14" s="14"/>
      <c r="Y14" s="14"/>
      <c r="Z14" s="14"/>
      <c r="AA14" s="17"/>
      <c r="AB14" s="17"/>
      <c r="AC14" s="17"/>
      <c r="AD14" s="17"/>
      <c r="AH14" s="14"/>
      <c r="AI14" s="14"/>
      <c r="AJ14" s="14"/>
      <c r="AK14" s="14"/>
      <c r="AL14" s="18"/>
      <c r="AM14" s="18"/>
      <c r="AN14" s="18"/>
      <c r="AO14" s="18"/>
      <c r="AP14" s="18"/>
      <c r="AQ14" s="18"/>
      <c r="AR14" s="18"/>
      <c r="AS14" s="18"/>
      <c r="AT14" s="18"/>
      <c r="AV14" s="14"/>
      <c r="AW14" s="14"/>
      <c r="AX14" s="14"/>
      <c r="AY14" s="14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</row>
    <row r="15" spans="1:87" ht="9" customHeight="1">
      <c r="B15" s="20"/>
      <c r="C15" s="25"/>
      <c r="D15" s="26"/>
      <c r="E15" s="26"/>
      <c r="F15" s="26"/>
      <c r="G15" s="27"/>
      <c r="H15" s="24"/>
    </row>
    <row r="16" spans="1:87" ht="6" customHeight="1">
      <c r="B16" s="20"/>
      <c r="C16" s="25"/>
      <c r="D16" s="26"/>
      <c r="E16" s="26"/>
      <c r="F16" s="26"/>
      <c r="G16" s="27"/>
      <c r="H16" s="24"/>
      <c r="J16" s="28"/>
      <c r="K16" s="29"/>
      <c r="L16" s="29"/>
      <c r="M16" s="29"/>
      <c r="N16" s="29"/>
      <c r="O16" s="29"/>
      <c r="P16" s="29"/>
      <c r="Q16" s="29"/>
      <c r="R16" s="29"/>
      <c r="S16" s="29"/>
      <c r="T16" s="30"/>
      <c r="V16" s="28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30"/>
      <c r="CI16">
        <f>c_State</f>
        <v>0.0</v>
      </c>
    </row>
    <row r="17" spans="2:84" ht="3" customHeight="1">
      <c r="B17" s="20"/>
      <c r="C17" s="25"/>
      <c r="D17" s="26"/>
      <c r="E17" s="26"/>
      <c r="F17" s="26"/>
      <c r="G17" s="27"/>
      <c r="H17" s="24"/>
      <c r="J17" s="31"/>
      <c r="K17" s="32" t="s">
        <v>78</v>
      </c>
      <c r="L17" s="32"/>
      <c r="M17" s="32"/>
      <c r="N17" s="32"/>
      <c r="O17" s="32"/>
      <c r="P17" s="32"/>
      <c r="Q17" s="32"/>
      <c r="R17" s="32"/>
      <c r="S17" s="33"/>
      <c r="T17" s="34"/>
      <c r="V17" s="31"/>
      <c r="W17" s="33"/>
      <c r="X17" s="32" t="s">
        <v>79</v>
      </c>
      <c r="Y17" s="32"/>
      <c r="Z17" s="32"/>
      <c r="AA17" s="32"/>
      <c r="AB17" s="32"/>
      <c r="AC17" s="32"/>
      <c r="AD17" s="32"/>
      <c r="AE17" s="32"/>
      <c r="AF17" s="33"/>
      <c r="AG17" s="33"/>
      <c r="AH17" s="33"/>
      <c r="AI17" s="32" t="s">
        <v>80</v>
      </c>
      <c r="AJ17" s="32"/>
      <c r="AK17" s="32"/>
      <c r="AL17" s="32"/>
      <c r="AM17" s="32"/>
      <c r="AN17" s="32"/>
      <c r="AO17" s="33"/>
      <c r="AP17" s="33"/>
      <c r="AQ17" s="32" t="s">
        <v>81</v>
      </c>
      <c r="AR17" s="32"/>
      <c r="AS17" s="32"/>
      <c r="AT17" s="32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2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2"/>
      <c r="BQ17" s="33"/>
      <c r="BR17" s="33"/>
      <c r="BS17" s="33"/>
      <c r="BT17" s="33"/>
      <c r="BU17" s="32" t="s">
        <v>85</v>
      </c>
      <c r="BV17" s="32"/>
      <c r="BW17" s="32"/>
      <c r="BX17" s="32"/>
      <c r="BY17" s="32"/>
      <c r="BZ17" s="32"/>
      <c r="CA17" s="32"/>
      <c r="CB17" s="32"/>
      <c r="CC17" s="32"/>
      <c r="CD17" s="32"/>
      <c r="CE17" s="33"/>
      <c r="CF17" s="34"/>
    </row>
    <row r="18" spans="2:84" ht="12" customHeight="1">
      <c r="B18" s="20"/>
      <c r="C18" s="35" t="s">
        <v>67</v>
      </c>
      <c r="D18" s="35"/>
      <c r="E18" s="35"/>
      <c r="F18" s="35"/>
      <c r="G18" s="35"/>
      <c r="H18" s="24"/>
      <c r="J18" s="31"/>
      <c r="K18" s="32"/>
      <c r="L18" s="32"/>
      <c r="M18" s="32"/>
      <c r="N18" s="32"/>
      <c r="O18" s="32"/>
      <c r="P18" s="32"/>
      <c r="Q18" s="32"/>
      <c r="R18" s="32"/>
      <c r="S18" s="33"/>
      <c r="T18" s="34"/>
      <c r="V18" s="31"/>
      <c r="W18" s="33"/>
      <c r="X18" s="32"/>
      <c r="Y18" s="32"/>
      <c r="Z18" s="32"/>
      <c r="AA18" s="32"/>
      <c r="AB18" s="32"/>
      <c r="AC18" s="32"/>
      <c r="AD18" s="32"/>
      <c r="AE18" s="32"/>
      <c r="AF18" s="33"/>
      <c r="AG18" s="36"/>
      <c r="AH18" s="33"/>
      <c r="AI18" s="32"/>
      <c r="AJ18" s="32"/>
      <c r="AK18" s="32"/>
      <c r="AL18" s="32"/>
      <c r="AM18" s="32"/>
      <c r="AN18" s="32"/>
      <c r="AO18" s="33"/>
      <c r="AP18" s="36"/>
      <c r="AQ18" s="32"/>
      <c r="AR18" s="32"/>
      <c r="AS18" s="32"/>
      <c r="AT18" s="32"/>
      <c r="AU18" s="32"/>
      <c r="AV18" s="32"/>
      <c r="AW18" s="32"/>
      <c r="AX18" s="32"/>
      <c r="AY18" s="32"/>
      <c r="AZ18" s="32"/>
      <c r="BA18" s="32"/>
      <c r="BB18" s="32"/>
      <c r="BC18" s="32"/>
      <c r="BD18" s="32"/>
      <c r="BE18" s="32"/>
      <c r="BF18" s="32"/>
      <c r="BG18" s="32"/>
      <c r="BH18" s="32"/>
      <c r="BI18" s="32"/>
      <c r="BJ18" s="32"/>
      <c r="BK18" s="32"/>
      <c r="BL18" s="32"/>
      <c r="BM18" s="32"/>
      <c r="BN18" s="32"/>
      <c r="BO18" s="32"/>
      <c r="BP18" s="32"/>
      <c r="BQ18" s="33"/>
      <c r="BR18" s="33"/>
      <c r="BS18" s="36"/>
      <c r="BT18" s="33"/>
      <c r="BU18" s="32"/>
      <c r="BV18" s="32"/>
      <c r="BW18" s="32"/>
      <c r="BX18" s="32"/>
      <c r="BY18" s="32"/>
      <c r="BZ18" s="32"/>
      <c r="CA18" s="32"/>
      <c r="CB18" s="32"/>
      <c r="CC18" s="32"/>
      <c r="CD18" s="32"/>
      <c r="CE18" s="33"/>
      <c r="CF18" s="34"/>
    </row>
    <row r="19" spans="2:84" ht="1.5" customHeight="1">
      <c r="B19" s="20"/>
      <c r="C19" s="35"/>
      <c r="D19" s="35"/>
      <c r="E19" s="35"/>
      <c r="F19" s="35"/>
      <c r="G19" s="35"/>
      <c r="H19" s="24"/>
      <c r="J19" s="31"/>
      <c r="K19" s="33"/>
      <c r="L19" s="33"/>
      <c r="M19" s="33"/>
      <c r="N19" s="33"/>
      <c r="O19" s="33"/>
      <c r="P19" s="33"/>
      <c r="Q19" s="33"/>
      <c r="R19" s="33"/>
      <c r="S19" s="33"/>
      <c r="T19" s="34"/>
      <c r="V19" s="31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6"/>
      <c r="AH19" s="33"/>
      <c r="AI19" s="33"/>
      <c r="AJ19" s="33"/>
      <c r="AK19" s="33"/>
      <c r="AL19" s="33"/>
      <c r="AM19" s="33"/>
      <c r="AN19" s="33"/>
      <c r="AO19" s="33"/>
      <c r="AP19" s="36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6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4"/>
    </row>
    <row r="20" spans="2:84" ht="1.5" customHeight="1">
      <c r="B20" s="20"/>
      <c r="C20" s="35"/>
      <c r="D20" s="35"/>
      <c r="E20" s="35"/>
      <c r="F20" s="35"/>
      <c r="G20" s="35"/>
      <c r="H20" s="24"/>
      <c r="J20" s="31"/>
      <c r="K20" s="33"/>
      <c r="L20" s="33"/>
      <c r="M20" s="33"/>
      <c r="N20" s="33"/>
      <c r="O20" s="33"/>
      <c r="P20" s="33"/>
      <c r="Q20" s="33"/>
      <c r="R20" s="33"/>
      <c r="S20" s="33"/>
      <c r="T20" s="34"/>
      <c r="V20" s="31"/>
      <c r="W20" s="33"/>
      <c r="X20" s="37" t="str">
        <f>IF(c_MaxVal="","—",c_MaxVal)</f>
        <v>—</v>
      </c>
      <c r="Y20" s="37"/>
      <c r="Z20" s="38" t="str">
        <f>IF(c_MaxVal="","","ppm")</f>
        <v/>
      </c>
      <c r="AA20" s="38"/>
      <c r="AB20" s="38"/>
      <c r="AC20" s="33"/>
      <c r="AD20" s="33"/>
      <c r="AE20" s="33"/>
      <c r="AF20" s="33"/>
      <c r="AG20" s="36"/>
      <c r="AH20" s="33"/>
      <c r="AI20" s="37" t="str">
        <f>IF(c_AvgVal="","—",c_AvgVal)</f>
        <v>—</v>
      </c>
      <c r="AJ20" s="37"/>
      <c r="AK20" s="38" t="str">
        <f>IF(c_AvgVal="","","ppm")</f>
        <v/>
      </c>
      <c r="AL20" s="38"/>
      <c r="AM20" s="38"/>
      <c r="AN20" s="33"/>
      <c r="AO20" s="33"/>
      <c r="AP20" s="36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6"/>
      <c r="BT20" s="33"/>
      <c r="BU20" s="39">
        <f>c_ObjCount</f>
        <v>0.0</v>
      </c>
      <c r="BV20" s="39"/>
      <c r="BW20" s="39"/>
      <c r="BX20" s="39"/>
      <c r="BY20" s="39"/>
      <c r="BZ20" s="39"/>
      <c r="CA20" s="39"/>
      <c r="CB20" s="39"/>
      <c r="CC20" s="39"/>
      <c r="CD20" s="39"/>
      <c r="CE20" s="33"/>
      <c r="CF20" s="34"/>
    </row>
    <row r="21" spans="2:84" ht="1.5" customHeight="1">
      <c r="B21" s="20"/>
      <c r="C21" s="35"/>
      <c r="D21" s="35"/>
      <c r="E21" s="35"/>
      <c r="F21" s="35"/>
      <c r="G21" s="35"/>
      <c r="H21" s="24"/>
      <c r="J21" s="31"/>
      <c r="K21" s="33"/>
      <c r="L21" s="33"/>
      <c r="M21" s="33"/>
      <c r="N21" s="33"/>
      <c r="O21" s="40" t="str">
        <f>c_StateText</f>
        <v>НЕТ ДАННЫХ</v>
      </c>
      <c r="P21" s="40"/>
      <c r="Q21" s="40"/>
      <c r="R21" s="40"/>
      <c r="S21" s="33"/>
      <c r="T21" s="34"/>
      <c r="V21" s="31"/>
      <c r="W21" s="33"/>
      <c r="X21" s="37"/>
      <c r="Y21" s="37"/>
      <c r="Z21" s="38"/>
      <c r="AA21" s="38"/>
      <c r="AB21" s="38"/>
      <c r="AC21" s="33"/>
      <c r="AD21" s="33"/>
      <c r="AE21" s="33"/>
      <c r="AF21" s="33"/>
      <c r="AG21" s="36"/>
      <c r="AH21" s="33"/>
      <c r="AI21" s="37"/>
      <c r="AJ21" s="37"/>
      <c r="AK21" s="38"/>
      <c r="AL21" s="38"/>
      <c r="AM21" s="38"/>
      <c r="AN21" s="33"/>
      <c r="AO21" s="33"/>
      <c r="AP21" s="36"/>
      <c r="AQ21" s="41" t="s">
        <v>82</v>
      </c>
      <c r="AR21" s="41"/>
      <c r="AS21" s="41"/>
      <c r="AT21" s="41"/>
      <c r="AU21" s="41"/>
      <c r="AV21" s="41"/>
      <c r="AW21" s="33"/>
      <c r="AX21" s="33"/>
      <c r="AY21" s="42" t="s">
        <v>83</v>
      </c>
      <c r="AZ21" s="42"/>
      <c r="BA21" s="42"/>
      <c r="BB21" s="42"/>
      <c r="BC21" s="42"/>
      <c r="BD21" s="42"/>
      <c r="BE21" s="33"/>
      <c r="BF21" s="33"/>
      <c r="BG21" s="43" t="s">
        <v>84</v>
      </c>
      <c r="BH21" s="43"/>
      <c r="BI21" s="43"/>
      <c r="BJ21" s="43"/>
      <c r="BK21" s="43"/>
      <c r="BL21" s="43"/>
      <c r="BM21" s="43"/>
      <c r="BN21" s="43"/>
      <c r="BO21" s="43"/>
      <c r="BP21" s="43"/>
      <c r="BQ21" s="33"/>
      <c r="BR21" s="33"/>
      <c r="BS21" s="36"/>
      <c r="BT21" s="33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3"/>
      <c r="CF21" s="34"/>
    </row>
    <row r="22" spans="2:84" ht="1.5" customHeight="1">
      <c r="B22" s="20"/>
      <c r="C22" s="35"/>
      <c r="D22" s="35"/>
      <c r="E22" s="35"/>
      <c r="F22" s="35"/>
      <c r="G22" s="35"/>
      <c r="H22" s="24"/>
      <c r="J22" s="31"/>
      <c r="K22" s="33"/>
      <c r="L22" s="33"/>
      <c r="M22" s="33"/>
      <c r="N22" s="33"/>
      <c r="O22" s="40"/>
      <c r="P22" s="40"/>
      <c r="Q22" s="40"/>
      <c r="R22" s="40"/>
      <c r="S22" s="33"/>
      <c r="T22" s="34"/>
      <c r="V22" s="31"/>
      <c r="W22" s="33"/>
      <c r="X22" s="37"/>
      <c r="Y22" s="37"/>
      <c r="Z22" s="38"/>
      <c r="AA22" s="38"/>
      <c r="AB22" s="38"/>
      <c r="AC22" s="33"/>
      <c r="AD22" s="33"/>
      <c r="AE22" s="33"/>
      <c r="AF22" s="33"/>
      <c r="AG22" s="36"/>
      <c r="AH22" s="33"/>
      <c r="AI22" s="37"/>
      <c r="AJ22" s="37"/>
      <c r="AK22" s="38"/>
      <c r="AL22" s="38"/>
      <c r="AM22" s="38"/>
      <c r="AN22" s="33"/>
      <c r="AO22" s="33"/>
      <c r="AP22" s="36"/>
      <c r="AQ22" s="41"/>
      <c r="AR22" s="41"/>
      <c r="AS22" s="41"/>
      <c r="AT22" s="41"/>
      <c r="AU22" s="41"/>
      <c r="AV22" s="41"/>
      <c r="AW22" s="33"/>
      <c r="AX22" s="44"/>
      <c r="AY22" s="42"/>
      <c r="AZ22" s="42"/>
      <c r="BA22" s="42"/>
      <c r="BB22" s="42"/>
      <c r="BC22" s="42"/>
      <c r="BD22" s="42"/>
      <c r="BE22" s="33"/>
      <c r="BF22" s="44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33"/>
      <c r="BR22" s="33"/>
      <c r="BS22" s="36"/>
      <c r="BT22" s="33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3"/>
      <c r="CF22" s="34"/>
    </row>
    <row r="23" spans="2:84" ht="6" customHeight="1">
      <c r="B23" s="20"/>
      <c r="C23" s="45"/>
      <c r="D23" s="46"/>
      <c r="E23" s="46"/>
      <c r="F23" s="46"/>
      <c r="G23" s="47"/>
      <c r="H23" s="24"/>
      <c r="J23" s="31"/>
      <c r="K23" s="33"/>
      <c r="L23" s="33"/>
      <c r="M23" s="33"/>
      <c r="N23" s="33"/>
      <c r="O23" s="40"/>
      <c r="P23" s="40"/>
      <c r="Q23" s="40"/>
      <c r="R23" s="40"/>
      <c r="S23" s="33"/>
      <c r="T23" s="34"/>
      <c r="V23" s="31"/>
      <c r="W23" s="33"/>
      <c r="X23" s="37"/>
      <c r="Y23" s="37"/>
      <c r="Z23" s="38"/>
      <c r="AA23" s="38"/>
      <c r="AB23" s="38"/>
      <c r="AC23" s="33"/>
      <c r="AD23" s="33"/>
      <c r="AE23" s="33"/>
      <c r="AF23" s="33"/>
      <c r="AG23" s="36"/>
      <c r="AH23" s="33"/>
      <c r="AI23" s="37"/>
      <c r="AJ23" s="37"/>
      <c r="AK23" s="38"/>
      <c r="AL23" s="38"/>
      <c r="AM23" s="38"/>
      <c r="AN23" s="33"/>
      <c r="AO23" s="33"/>
      <c r="AP23" s="36"/>
      <c r="AQ23" s="41"/>
      <c r="AR23" s="41"/>
      <c r="AS23" s="41"/>
      <c r="AT23" s="41"/>
      <c r="AU23" s="41"/>
      <c r="AV23" s="41"/>
      <c r="AW23" s="33"/>
      <c r="AX23" s="44"/>
      <c r="AY23" s="42"/>
      <c r="AZ23" s="42"/>
      <c r="BA23" s="42"/>
      <c r="BB23" s="42"/>
      <c r="BC23" s="42"/>
      <c r="BD23" s="42"/>
      <c r="BE23" s="33"/>
      <c r="BF23" s="44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33"/>
      <c r="BR23" s="33"/>
      <c r="BS23" s="36"/>
      <c r="BT23" s="33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3"/>
      <c r="CF23" s="34"/>
    </row>
    <row r="24" spans="2:84" ht="3" customHeight="1">
      <c r="B24" s="20"/>
      <c r="C24" s="48"/>
      <c r="D24" s="49"/>
      <c r="E24" s="49"/>
      <c r="F24" s="49"/>
      <c r="G24" s="48"/>
      <c r="H24" s="24"/>
      <c r="J24" s="31"/>
      <c r="K24" s="33"/>
      <c r="L24" s="33"/>
      <c r="M24" s="33"/>
      <c r="N24" s="33"/>
      <c r="O24" s="40"/>
      <c r="P24" s="40"/>
      <c r="Q24" s="40"/>
      <c r="R24" s="40"/>
      <c r="S24" s="33"/>
      <c r="T24" s="34"/>
      <c r="V24" s="31"/>
      <c r="W24" s="33"/>
      <c r="X24" s="37"/>
      <c r="Y24" s="37"/>
      <c r="Z24" s="38"/>
      <c r="AA24" s="38"/>
      <c r="AB24" s="38"/>
      <c r="AC24" s="33"/>
      <c r="AD24" s="33"/>
      <c r="AE24" s="33"/>
      <c r="AF24" s="33"/>
      <c r="AG24" s="36"/>
      <c r="AH24" s="33"/>
      <c r="AI24" s="37"/>
      <c r="AJ24" s="37"/>
      <c r="AK24" s="38"/>
      <c r="AL24" s="38"/>
      <c r="AM24" s="38"/>
      <c r="AN24" s="33"/>
      <c r="AO24" s="33"/>
      <c r="AP24" s="36"/>
      <c r="AQ24" s="41"/>
      <c r="AR24" s="41"/>
      <c r="AS24" s="41"/>
      <c r="AT24" s="41"/>
      <c r="AU24" s="41"/>
      <c r="AV24" s="41"/>
      <c r="AW24" s="33"/>
      <c r="AX24" s="44"/>
      <c r="AY24" s="42"/>
      <c r="AZ24" s="42"/>
      <c r="BA24" s="42"/>
      <c r="BB24" s="42"/>
      <c r="BC24" s="42"/>
      <c r="BD24" s="42"/>
      <c r="BE24" s="33"/>
      <c r="BF24" s="44"/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33"/>
      <c r="BR24" s="33"/>
      <c r="BS24" s="36"/>
      <c r="BT24" s="33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3"/>
      <c r="CF24" s="34"/>
    </row>
    <row r="25" spans="2:84" ht="1.5" customHeight="1">
      <c r="B25" s="20"/>
      <c r="C25" s="48"/>
      <c r="D25" s="48"/>
      <c r="E25" s="48"/>
      <c r="F25" s="48"/>
      <c r="G25" s="48"/>
      <c r="H25" s="24"/>
      <c r="J25" s="31"/>
      <c r="K25" s="33"/>
      <c r="L25" s="33"/>
      <c r="M25" s="33"/>
      <c r="N25" s="33"/>
      <c r="O25" s="40"/>
      <c r="P25" s="40"/>
      <c r="Q25" s="40"/>
      <c r="R25" s="40"/>
      <c r="S25" s="33"/>
      <c r="T25" s="34"/>
      <c r="V25" s="31"/>
      <c r="W25" s="33"/>
      <c r="X25" s="37"/>
      <c r="Y25" s="37"/>
      <c r="Z25" s="38"/>
      <c r="AA25" s="38"/>
      <c r="AB25" s="38"/>
      <c r="AC25" s="33"/>
      <c r="AD25" s="33"/>
      <c r="AE25" s="33"/>
      <c r="AF25" s="33"/>
      <c r="AG25" s="36"/>
      <c r="AH25" s="33"/>
      <c r="AI25" s="37"/>
      <c r="AJ25" s="37"/>
      <c r="AK25" s="38"/>
      <c r="AL25" s="38"/>
      <c r="AM25" s="38"/>
      <c r="AN25" s="33"/>
      <c r="AO25" s="33"/>
      <c r="AP25" s="36"/>
      <c r="AQ25" s="41"/>
      <c r="AR25" s="41"/>
      <c r="AS25" s="41"/>
      <c r="AT25" s="41"/>
      <c r="AU25" s="41"/>
      <c r="AV25" s="41"/>
      <c r="AW25" s="33"/>
      <c r="AX25" s="44"/>
      <c r="AY25" s="42"/>
      <c r="AZ25" s="42"/>
      <c r="BA25" s="42"/>
      <c r="BB25" s="42"/>
      <c r="BC25" s="42"/>
      <c r="BD25" s="42"/>
      <c r="BE25" s="33"/>
      <c r="BF25" s="44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33"/>
      <c r="BR25" s="33"/>
      <c r="BS25" s="36"/>
      <c r="BT25" s="33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3"/>
      <c r="CF25" s="34"/>
    </row>
    <row r="26" spans="2:84" ht="1.5" customHeight="1">
      <c r="B26" s="20"/>
      <c r="C26" s="48"/>
      <c r="D26" s="48"/>
      <c r="E26" s="48"/>
      <c r="F26" s="48"/>
      <c r="G26" s="48"/>
      <c r="H26" s="24"/>
      <c r="J26" s="31"/>
      <c r="K26" s="33"/>
      <c r="L26" s="33"/>
      <c r="M26" s="33"/>
      <c r="N26" s="33"/>
      <c r="O26" s="40"/>
      <c r="P26" s="40"/>
      <c r="Q26" s="40"/>
      <c r="R26" s="40"/>
      <c r="S26" s="33"/>
      <c r="T26" s="34"/>
      <c r="V26" s="31"/>
      <c r="W26" s="33"/>
      <c r="X26" s="37"/>
      <c r="Y26" s="37"/>
      <c r="Z26" s="38"/>
      <c r="AA26" s="38"/>
      <c r="AB26" s="38"/>
      <c r="AC26" s="33"/>
      <c r="AD26" s="33"/>
      <c r="AE26" s="33"/>
      <c r="AF26" s="33"/>
      <c r="AG26" s="36"/>
      <c r="AH26" s="33"/>
      <c r="AI26" s="37"/>
      <c r="AJ26" s="37"/>
      <c r="AK26" s="38"/>
      <c r="AL26" s="38"/>
      <c r="AM26" s="38"/>
      <c r="AN26" s="33"/>
      <c r="AO26" s="33"/>
      <c r="AP26" s="36"/>
      <c r="AQ26" s="33"/>
      <c r="AR26" s="33"/>
      <c r="AS26" s="33"/>
      <c r="AT26" s="33"/>
      <c r="AU26" s="33"/>
      <c r="AV26" s="33"/>
      <c r="AW26" s="33"/>
      <c r="AX26" s="44"/>
      <c r="AY26" s="33"/>
      <c r="AZ26" s="33"/>
      <c r="BA26" s="33"/>
      <c r="BB26" s="33"/>
      <c r="BC26" s="33"/>
      <c r="BD26" s="33"/>
      <c r="BE26" s="33"/>
      <c r="BF26" s="44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3"/>
      <c r="BS26" s="36"/>
      <c r="BT26" s="33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3"/>
      <c r="CF26" s="34"/>
    </row>
    <row r="27" spans="2:84" ht="7.5" customHeight="1">
      <c r="B27" s="20"/>
      <c r="C27" s="48"/>
      <c r="D27" s="48"/>
      <c r="E27" s="48"/>
      <c r="F27" s="48"/>
      <c r="G27" s="48"/>
      <c r="H27" s="24"/>
      <c r="J27" s="31"/>
      <c r="K27" s="33"/>
      <c r="L27" s="33"/>
      <c r="M27" s="33"/>
      <c r="N27" s="33"/>
      <c r="O27" s="40"/>
      <c r="P27" s="40"/>
      <c r="Q27" s="40"/>
      <c r="R27" s="40"/>
      <c r="S27" s="33"/>
      <c r="T27" s="34"/>
      <c r="V27" s="31"/>
      <c r="W27" s="33"/>
      <c r="X27" s="37"/>
      <c r="Y27" s="37"/>
      <c r="Z27" s="38"/>
      <c r="AA27" s="38"/>
      <c r="AB27" s="38"/>
      <c r="AC27" s="33"/>
      <c r="AD27" s="33"/>
      <c r="AE27" s="33"/>
      <c r="AF27" s="33"/>
      <c r="AG27" s="36"/>
      <c r="AH27" s="33"/>
      <c r="AI27" s="37"/>
      <c r="AJ27" s="37"/>
      <c r="AK27" s="38"/>
      <c r="AL27" s="38"/>
      <c r="AM27" s="38"/>
      <c r="AN27" s="33"/>
      <c r="AO27" s="33"/>
      <c r="AP27" s="36"/>
      <c r="AQ27" s="50">
        <f>c_CntGreen</f>
        <v>0.0</v>
      </c>
      <c r="AR27" s="50"/>
      <c r="AS27" s="50"/>
      <c r="AT27" s="50"/>
      <c r="AU27" s="50"/>
      <c r="AV27" s="50"/>
      <c r="AW27" s="33"/>
      <c r="AX27" s="44"/>
      <c r="AY27" s="51">
        <f>c_CntYellow</f>
        <v>0.0</v>
      </c>
      <c r="AZ27" s="51"/>
      <c r="BA27" s="51"/>
      <c r="BB27" s="51"/>
      <c r="BC27" s="51"/>
      <c r="BD27" s="51"/>
      <c r="BE27" s="33"/>
      <c r="BF27" s="44"/>
      <c r="BG27" s="52">
        <f>c_CntRed</f>
        <v>0.0</v>
      </c>
      <c r="BH27" s="52"/>
      <c r="BI27" s="52"/>
      <c r="BJ27" s="52"/>
      <c r="BK27" s="52"/>
      <c r="BL27" s="52"/>
      <c r="BM27" s="52"/>
      <c r="BN27" s="52"/>
      <c r="BO27" s="52"/>
      <c r="BP27" s="52"/>
      <c r="BQ27" s="33"/>
      <c r="BR27" s="33"/>
      <c r="BS27" s="36"/>
      <c r="BT27" s="33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3"/>
      <c r="CF27" s="34"/>
    </row>
    <row r="28" spans="2:84" ht="4.5" customHeight="1">
      <c r="B28" s="20"/>
      <c r="C28" s="48"/>
      <c r="D28" s="48"/>
      <c r="E28" s="48"/>
      <c r="F28" s="48"/>
      <c r="G28" s="48"/>
      <c r="H28" s="24"/>
      <c r="J28" s="31"/>
      <c r="K28" s="33"/>
      <c r="L28" s="33"/>
      <c r="M28" s="33"/>
      <c r="N28" s="33"/>
      <c r="O28" s="53" t="str">
        <f>c_StateSub</f>
        <v>Загрузите файл с данными</v>
      </c>
      <c r="P28" s="53"/>
      <c r="Q28" s="53"/>
      <c r="R28" s="53"/>
      <c r="S28" s="33"/>
      <c r="T28" s="34"/>
      <c r="V28" s="31"/>
      <c r="W28" s="33"/>
      <c r="X28" s="37"/>
      <c r="Y28" s="37"/>
      <c r="Z28" s="38"/>
      <c r="AA28" s="38"/>
      <c r="AB28" s="38"/>
      <c r="AC28" s="33"/>
      <c r="AD28" s="33"/>
      <c r="AE28" s="33"/>
      <c r="AF28" s="33"/>
      <c r="AG28" s="36"/>
      <c r="AH28" s="33"/>
      <c r="AI28" s="37"/>
      <c r="AJ28" s="37"/>
      <c r="AK28" s="38"/>
      <c r="AL28" s="38"/>
      <c r="AM28" s="38"/>
      <c r="AN28" s="33"/>
      <c r="AO28" s="33"/>
      <c r="AP28" s="36"/>
      <c r="AQ28" s="50"/>
      <c r="AR28" s="50"/>
      <c r="AS28" s="50"/>
      <c r="AT28" s="50"/>
      <c r="AU28" s="50"/>
      <c r="AV28" s="50"/>
      <c r="AW28" s="33"/>
      <c r="AX28" s="44"/>
      <c r="AY28" s="51"/>
      <c r="AZ28" s="51"/>
      <c r="BA28" s="51"/>
      <c r="BB28" s="51"/>
      <c r="BC28" s="51"/>
      <c r="BD28" s="51"/>
      <c r="BE28" s="33"/>
      <c r="BF28" s="44"/>
      <c r="BG28" s="52"/>
      <c r="BH28" s="52"/>
      <c r="BI28" s="52"/>
      <c r="BJ28" s="52"/>
      <c r="BK28" s="52"/>
      <c r="BL28" s="52"/>
      <c r="BM28" s="52"/>
      <c r="BN28" s="52"/>
      <c r="BO28" s="52"/>
      <c r="BP28" s="52"/>
      <c r="BQ28" s="33"/>
      <c r="BR28" s="33"/>
      <c r="BS28" s="36"/>
      <c r="BT28" s="33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3"/>
      <c r="CF28" s="34"/>
    </row>
    <row r="29" spans="2:84" ht="1.5" customHeight="1">
      <c r="B29" s="20"/>
      <c r="C29" s="48"/>
      <c r="D29" s="48"/>
      <c r="E29" s="48"/>
      <c r="F29" s="48"/>
      <c r="G29" s="48"/>
      <c r="H29" s="24"/>
      <c r="J29" s="31"/>
      <c r="K29" s="33"/>
      <c r="L29" s="33"/>
      <c r="M29" s="33"/>
      <c r="N29" s="33"/>
      <c r="O29" s="53"/>
      <c r="P29" s="53"/>
      <c r="Q29" s="53"/>
      <c r="R29" s="53"/>
      <c r="S29" s="33"/>
      <c r="T29" s="34"/>
      <c r="V29" s="31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6"/>
      <c r="AH29" s="33"/>
      <c r="AI29" s="33"/>
      <c r="AJ29" s="33"/>
      <c r="AK29" s="33"/>
      <c r="AL29" s="33"/>
      <c r="AM29" s="33"/>
      <c r="AN29" s="33"/>
      <c r="AO29" s="33"/>
      <c r="AP29" s="36"/>
      <c r="AQ29" s="50"/>
      <c r="AR29" s="50"/>
      <c r="AS29" s="50"/>
      <c r="AT29" s="50"/>
      <c r="AU29" s="50"/>
      <c r="AV29" s="50"/>
      <c r="AW29" s="33"/>
      <c r="AX29" s="44"/>
      <c r="AY29" s="51"/>
      <c r="AZ29" s="51"/>
      <c r="BA29" s="51"/>
      <c r="BB29" s="51"/>
      <c r="BC29" s="51"/>
      <c r="BD29" s="51"/>
      <c r="BE29" s="33"/>
      <c r="BF29" s="44"/>
      <c r="BG29" s="52"/>
      <c r="BH29" s="52"/>
      <c r="BI29" s="52"/>
      <c r="BJ29" s="52"/>
      <c r="BK29" s="52"/>
      <c r="BL29" s="52"/>
      <c r="BM29" s="52"/>
      <c r="BN29" s="52"/>
      <c r="BO29" s="52"/>
      <c r="BP29" s="52"/>
      <c r="BQ29" s="33"/>
      <c r="BR29" s="33"/>
      <c r="BS29" s="36"/>
      <c r="BT29" s="33"/>
      <c r="BU29" s="33"/>
      <c r="BV29" s="33"/>
      <c r="BW29" s="33"/>
      <c r="BX29" s="33"/>
      <c r="BY29" s="33"/>
      <c r="BZ29" s="33"/>
      <c r="CA29" s="33"/>
      <c r="CB29" s="33"/>
      <c r="CC29" s="33"/>
      <c r="CD29" s="33"/>
      <c r="CE29" s="33"/>
      <c r="CF29" s="34"/>
    </row>
    <row r="30" spans="2:84" ht="10.5" customHeight="1">
      <c r="B30" s="20"/>
      <c r="C30" s="48"/>
      <c r="D30" s="48"/>
      <c r="E30" s="48"/>
      <c r="F30" s="48"/>
      <c r="G30" s="48"/>
      <c r="H30" s="24"/>
      <c r="J30" s="31"/>
      <c r="K30" s="33"/>
      <c r="L30" s="33"/>
      <c r="M30" s="33"/>
      <c r="N30" s="33"/>
      <c r="O30" s="53"/>
      <c r="P30" s="53"/>
      <c r="Q30" s="53"/>
      <c r="R30" s="53"/>
      <c r="S30" s="33"/>
      <c r="T30" s="34"/>
      <c r="V30" s="31"/>
      <c r="W30" s="33"/>
      <c r="X30" s="54" t="str">
        <f>c_MaxName</f>
        <v/>
      </c>
      <c r="Y30" s="54"/>
      <c r="Z30" s="54"/>
      <c r="AA30" s="54"/>
      <c r="AB30" s="54"/>
      <c r="AC30" s="54"/>
      <c r="AD30" s="54"/>
      <c r="AE30" s="54"/>
      <c r="AF30" s="33"/>
      <c r="AG30" s="36"/>
      <c r="AH30" s="33"/>
      <c r="AI30" s="55" t="str">
        <f>IF(c_CntValued=0,"","по "&amp;c_CntValued&amp;" СИКН")</f>
        <v/>
      </c>
      <c r="AJ30" s="55"/>
      <c r="AK30" s="55"/>
      <c r="AL30" s="55"/>
      <c r="AM30" s="55"/>
      <c r="AN30" s="55"/>
      <c r="AO30" s="33"/>
      <c r="AP30" s="36"/>
      <c r="AQ30" s="50"/>
      <c r="AR30" s="50"/>
      <c r="AS30" s="50"/>
      <c r="AT30" s="50"/>
      <c r="AU30" s="50"/>
      <c r="AV30" s="50"/>
      <c r="AW30" s="33"/>
      <c r="AX30" s="44"/>
      <c r="AY30" s="51"/>
      <c r="AZ30" s="51"/>
      <c r="BA30" s="51"/>
      <c r="BB30" s="51"/>
      <c r="BC30" s="51"/>
      <c r="BD30" s="51"/>
      <c r="BE30" s="33"/>
      <c r="BF30" s="44"/>
      <c r="BG30" s="52"/>
      <c r="BH30" s="52"/>
      <c r="BI30" s="52"/>
      <c r="BJ30" s="52"/>
      <c r="BK30" s="52"/>
      <c r="BL30" s="52"/>
      <c r="BM30" s="52"/>
      <c r="BN30" s="52"/>
      <c r="BO30" s="52"/>
      <c r="BP30" s="52"/>
      <c r="BQ30" s="33"/>
      <c r="BR30" s="33"/>
      <c r="BS30" s="36"/>
      <c r="BT30" s="33"/>
      <c r="BU30" s="55" t="str">
        <f>IF(c_CntNoData&gt;0,"нет данных: "&amp;c_CntNoData,"")</f>
        <v/>
      </c>
      <c r="BV30" s="55"/>
      <c r="BW30" s="55"/>
      <c r="BX30" s="55"/>
      <c r="BY30" s="55"/>
      <c r="BZ30" s="55"/>
      <c r="CA30" s="55"/>
      <c r="CB30" s="55"/>
      <c r="CC30" s="55"/>
      <c r="CD30" s="55"/>
      <c r="CE30" s="33"/>
      <c r="CF30" s="34"/>
    </row>
    <row r="31" spans="2:84" ht="4.5" customHeight="1">
      <c r="B31" s="20"/>
      <c r="C31" s="48"/>
      <c r="D31" s="48"/>
      <c r="E31" s="48"/>
      <c r="F31" s="48"/>
      <c r="G31" s="48"/>
      <c r="H31" s="24"/>
      <c r="J31" s="31"/>
      <c r="K31" s="33"/>
      <c r="L31" s="33"/>
      <c r="M31" s="33"/>
      <c r="N31" s="33"/>
      <c r="O31" s="33"/>
      <c r="P31" s="33"/>
      <c r="Q31" s="33"/>
      <c r="R31" s="33"/>
      <c r="S31" s="33"/>
      <c r="T31" s="34"/>
      <c r="V31" s="31"/>
      <c r="W31" s="33"/>
      <c r="X31" s="54"/>
      <c r="Y31" s="54"/>
      <c r="Z31" s="54"/>
      <c r="AA31" s="54"/>
      <c r="AB31" s="54"/>
      <c r="AC31" s="54"/>
      <c r="AD31" s="54"/>
      <c r="AE31" s="54"/>
      <c r="AF31" s="33"/>
      <c r="AG31" s="36"/>
      <c r="AH31" s="33"/>
      <c r="AI31" s="55"/>
      <c r="AJ31" s="55"/>
      <c r="AK31" s="55"/>
      <c r="AL31" s="55"/>
      <c r="AM31" s="55"/>
      <c r="AN31" s="55"/>
      <c r="AO31" s="33"/>
      <c r="AP31" s="36"/>
      <c r="AQ31" s="50"/>
      <c r="AR31" s="50"/>
      <c r="AS31" s="50"/>
      <c r="AT31" s="50"/>
      <c r="AU31" s="50"/>
      <c r="AV31" s="50"/>
      <c r="AW31" s="33"/>
      <c r="AX31" s="44"/>
      <c r="AY31" s="51"/>
      <c r="AZ31" s="51"/>
      <c r="BA31" s="51"/>
      <c r="BB31" s="51"/>
      <c r="BC31" s="51"/>
      <c r="BD31" s="51"/>
      <c r="BE31" s="33"/>
      <c r="BF31" s="44"/>
      <c r="BG31" s="52"/>
      <c r="BH31" s="52"/>
      <c r="BI31" s="52"/>
      <c r="BJ31" s="52"/>
      <c r="BK31" s="52"/>
      <c r="BL31" s="52"/>
      <c r="BM31" s="52"/>
      <c r="BN31" s="52"/>
      <c r="BO31" s="52"/>
      <c r="BP31" s="52"/>
      <c r="BQ31" s="33"/>
      <c r="BR31" s="33"/>
      <c r="BS31" s="36"/>
      <c r="BT31" s="33"/>
      <c r="BU31" s="55"/>
      <c r="BV31" s="55"/>
      <c r="BW31" s="55"/>
      <c r="BX31" s="55"/>
      <c r="BY31" s="55"/>
      <c r="BZ31" s="55"/>
      <c r="CA31" s="55"/>
      <c r="CB31" s="55"/>
      <c r="CC31" s="55"/>
      <c r="CD31" s="55"/>
      <c r="CE31" s="33"/>
      <c r="CF31" s="34"/>
    </row>
    <row r="32" spans="2:84" ht="1.5" customHeight="1">
      <c r="B32" s="20"/>
      <c r="C32" s="48"/>
      <c r="D32" s="48"/>
      <c r="E32" s="48"/>
      <c r="F32" s="48"/>
      <c r="G32" s="48"/>
      <c r="H32" s="24"/>
      <c r="J32" s="31"/>
      <c r="K32" s="33"/>
      <c r="L32" s="33"/>
      <c r="M32" s="33"/>
      <c r="N32" s="33"/>
      <c r="O32" s="33"/>
      <c r="P32" s="33"/>
      <c r="Q32" s="33"/>
      <c r="R32" s="33"/>
      <c r="S32" s="33"/>
      <c r="T32" s="34"/>
      <c r="V32" s="31"/>
      <c r="W32" s="33"/>
      <c r="X32" s="54"/>
      <c r="Y32" s="54"/>
      <c r="Z32" s="54"/>
      <c r="AA32" s="54"/>
      <c r="AB32" s="54"/>
      <c r="AC32" s="54"/>
      <c r="AD32" s="54"/>
      <c r="AE32" s="54"/>
      <c r="AF32" s="33"/>
      <c r="AG32" s="33"/>
      <c r="AH32" s="33"/>
      <c r="AI32" s="55"/>
      <c r="AJ32" s="55"/>
      <c r="AK32" s="55"/>
      <c r="AL32" s="55"/>
      <c r="AM32" s="55"/>
      <c r="AN32" s="55"/>
      <c r="AO32" s="33"/>
      <c r="AP32" s="33"/>
      <c r="AQ32" s="50"/>
      <c r="AR32" s="50"/>
      <c r="AS32" s="50"/>
      <c r="AT32" s="50"/>
      <c r="AU32" s="50"/>
      <c r="AV32" s="50"/>
      <c r="AW32" s="33"/>
      <c r="AX32" s="33"/>
      <c r="AY32" s="51"/>
      <c r="AZ32" s="51"/>
      <c r="BA32" s="51"/>
      <c r="BB32" s="51"/>
      <c r="BC32" s="51"/>
      <c r="BD32" s="51"/>
      <c r="BE32" s="33"/>
      <c r="BF32" s="33"/>
      <c r="BG32" s="52"/>
      <c r="BH32" s="52"/>
      <c r="BI32" s="52"/>
      <c r="BJ32" s="52"/>
      <c r="BK32" s="52"/>
      <c r="BL32" s="52"/>
      <c r="BM32" s="52"/>
      <c r="BN32" s="52"/>
      <c r="BO32" s="52"/>
      <c r="BP32" s="52"/>
      <c r="BQ32" s="33"/>
      <c r="BR32" s="33"/>
      <c r="BS32" s="33"/>
      <c r="BT32" s="33"/>
      <c r="BU32" s="55"/>
      <c r="BV32" s="55"/>
      <c r="BW32" s="55"/>
      <c r="BX32" s="55"/>
      <c r="BY32" s="55"/>
      <c r="BZ32" s="55"/>
      <c r="CA32" s="55"/>
      <c r="CB32" s="55"/>
      <c r="CC32" s="55"/>
      <c r="CD32" s="55"/>
      <c r="CE32" s="33"/>
      <c r="CF32" s="34"/>
    </row>
    <row r="33" spans="2:88" ht="6" customHeight="1">
      <c r="B33" s="20"/>
      <c r="C33" s="48"/>
      <c r="D33" s="48"/>
      <c r="E33" s="48"/>
      <c r="F33" s="48"/>
      <c r="G33" s="48"/>
      <c r="H33" s="24"/>
      <c r="J33" s="56"/>
      <c r="K33" s="57"/>
      <c r="L33" s="57"/>
      <c r="M33" s="57"/>
      <c r="N33" s="57"/>
      <c r="O33" s="57"/>
      <c r="P33" s="57"/>
      <c r="Q33" s="57"/>
      <c r="R33" s="57"/>
      <c r="S33" s="57"/>
      <c r="T33" s="58"/>
      <c r="V33" s="56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7"/>
      <c r="CC33" s="57"/>
      <c r="CD33" s="57"/>
      <c r="CE33" s="57"/>
      <c r="CF33" s="58"/>
    </row>
    <row r="34" spans="2:88" ht="1.5" customHeight="1">
      <c r="B34" s="20"/>
      <c r="C34" s="48"/>
      <c r="D34" s="48"/>
      <c r="E34" s="48"/>
      <c r="F34" s="48"/>
      <c r="G34" s="48"/>
      <c r="H34" s="24"/>
    </row>
    <row r="35" spans="2:88" ht="7.5" customHeight="1">
      <c r="B35" s="20"/>
      <c r="C35" s="59" t="s">
        <v>68</v>
      </c>
      <c r="D35" s="59"/>
      <c r="E35" s="59"/>
      <c r="F35" s="59"/>
      <c r="G35" s="59"/>
      <c r="H35" s="24"/>
    </row>
    <row r="36" spans="2:88" ht="10.5" customHeight="1">
      <c r="B36" s="20"/>
      <c r="C36" s="59"/>
      <c r="D36" s="59"/>
      <c r="E36" s="59"/>
      <c r="F36" s="59"/>
      <c r="G36" s="59"/>
      <c r="H36" s="24"/>
      <c r="J36" s="28"/>
      <c r="K36" s="60" t="str">
        <f>"СОДЕРЖАНИЕ ЛХОС ПО СИКН — "&amp;UPPER(c_MonthLabel)</f>
        <v>СОДЕРЖАНИЕ ЛХОС ПО СИКН — ОКТЯБРЬ 2026</v>
      </c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1" t="str">
        <f>IF(c_ObjCount=0,"База пуста — нажмите «ИМПОРТ ДАННЫХ»",IF(COUNTA('БД'!$B$1:$ZZ$1)&gt;24,"Показаны 24 из "&amp;COUNTA('БД'!$B$1:$ZZ$1)&amp;" СИКН"&amp;IF(c_StaleCount&gt;0,"; * — значение за предыдущую дату",""),IF(c_StaleCount&gt;0,"* — значение за предыдущую дату","")))</f>
        <v>База пуста — нажмите «ИМПОРТ ДАННЫХ»</v>
      </c>
      <c r="AK36" s="61"/>
      <c r="AL36" s="61"/>
      <c r="AM36" s="61"/>
      <c r="AN36" s="61"/>
      <c r="AO36" s="61"/>
      <c r="AP36" s="61"/>
      <c r="AQ36" s="61"/>
      <c r="AR36" s="61"/>
      <c r="AS36" s="61"/>
      <c r="AT36" s="61"/>
      <c r="AU36" s="61"/>
      <c r="AV36" s="61"/>
      <c r="AW36" s="61"/>
      <c r="AX36" s="61"/>
      <c r="AY36" s="61"/>
      <c r="AZ36" s="61"/>
      <c r="BA36" s="61"/>
      <c r="BB36" s="30"/>
      <c r="BE36" s="28"/>
      <c r="BF36" s="29"/>
      <c r="BG36" s="29"/>
      <c r="BH36" s="29"/>
      <c r="BI36" s="60" t="s">
        <v>91</v>
      </c>
      <c r="BJ36" s="60"/>
      <c r="BK36" s="60"/>
      <c r="BL36" s="60"/>
      <c r="BM36" s="60"/>
      <c r="BN36" s="60"/>
      <c r="BO36" s="60"/>
      <c r="BP36" s="60"/>
      <c r="BQ36" s="60"/>
      <c r="BR36" s="60"/>
      <c r="BS36" s="60"/>
      <c r="BT36" s="60"/>
      <c r="BU36" s="60"/>
      <c r="BV36" s="60"/>
      <c r="BW36" s="60"/>
      <c r="BX36" s="60"/>
      <c r="BY36" s="60"/>
      <c r="BZ36" s="60"/>
      <c r="CA36" s="60"/>
      <c r="CB36" s="60"/>
      <c r="CC36" s="60"/>
      <c r="CD36" s="60"/>
      <c r="CE36" s="29"/>
      <c r="CF36" s="30"/>
    </row>
    <row r="37" spans="2:88" ht="9" customHeight="1">
      <c r="B37" s="20"/>
      <c r="C37" s="48"/>
      <c r="D37" s="49"/>
      <c r="E37" s="49"/>
      <c r="F37" s="49"/>
      <c r="G37" s="48"/>
      <c r="H37" s="24"/>
      <c r="J37" s="31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0"/>
      <c r="AI37" s="60"/>
      <c r="AJ37" s="61"/>
      <c r="AK37" s="61"/>
      <c r="AL37" s="61"/>
      <c r="AM37" s="61"/>
      <c r="AN37" s="61"/>
      <c r="AO37" s="61"/>
      <c r="AP37" s="61"/>
      <c r="AQ37" s="61"/>
      <c r="AR37" s="61"/>
      <c r="AS37" s="61"/>
      <c r="AT37" s="61"/>
      <c r="AU37" s="61"/>
      <c r="AV37" s="61"/>
      <c r="AW37" s="61"/>
      <c r="AX37" s="61"/>
      <c r="AY37" s="61"/>
      <c r="AZ37" s="61"/>
      <c r="BA37" s="61"/>
      <c r="BB37" s="34"/>
      <c r="BE37" s="31"/>
      <c r="BF37" s="33"/>
      <c r="BG37" s="33"/>
      <c r="BH37" s="33"/>
      <c r="BI37" s="60"/>
      <c r="BJ37" s="60"/>
      <c r="BK37" s="60"/>
      <c r="BL37" s="60"/>
      <c r="BM37" s="60"/>
      <c r="BN37" s="60"/>
      <c r="BO37" s="60"/>
      <c r="BP37" s="60"/>
      <c r="BQ37" s="60"/>
      <c r="BR37" s="60"/>
      <c r="BS37" s="60"/>
      <c r="BT37" s="60"/>
      <c r="BU37" s="60"/>
      <c r="BV37" s="60"/>
      <c r="BW37" s="60"/>
      <c r="BX37" s="60"/>
      <c r="BY37" s="60"/>
      <c r="BZ37" s="60"/>
      <c r="CA37" s="60"/>
      <c r="CB37" s="60"/>
      <c r="CC37" s="60"/>
      <c r="CD37" s="60"/>
      <c r="CE37" s="33"/>
      <c r="CF37" s="34"/>
    </row>
    <row r="38" spans="2:88" ht="3" customHeight="1">
      <c r="B38" s="20"/>
      <c r="C38" s="48"/>
      <c r="D38" s="48"/>
      <c r="E38" s="48"/>
      <c r="F38" s="48"/>
      <c r="G38" s="48"/>
      <c r="H38" s="24"/>
      <c r="J38" s="31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0"/>
      <c r="AI38" s="60"/>
      <c r="AJ38" s="61"/>
      <c r="AK38" s="61"/>
      <c r="AL38" s="61"/>
      <c r="AM38" s="61"/>
      <c r="AN38" s="61"/>
      <c r="AO38" s="61"/>
      <c r="AP38" s="61"/>
      <c r="AQ38" s="61"/>
      <c r="AR38" s="61"/>
      <c r="AS38" s="61"/>
      <c r="AT38" s="61"/>
      <c r="AU38" s="61"/>
      <c r="AV38" s="61"/>
      <c r="AW38" s="61"/>
      <c r="AX38" s="61"/>
      <c r="AY38" s="61"/>
      <c r="AZ38" s="61"/>
      <c r="BA38" s="61"/>
      <c r="BB38" s="34"/>
      <c r="BE38" s="31"/>
      <c r="BF38" s="33"/>
      <c r="BG38" s="33"/>
      <c r="BH38" s="33"/>
      <c r="BI38" s="60"/>
      <c r="BJ38" s="60"/>
      <c r="BK38" s="60"/>
      <c r="BL38" s="60"/>
      <c r="BM38" s="60"/>
      <c r="BN38" s="60"/>
      <c r="BO38" s="60"/>
      <c r="BP38" s="60"/>
      <c r="BQ38" s="60"/>
      <c r="BR38" s="60"/>
      <c r="BS38" s="60"/>
      <c r="BT38" s="60"/>
      <c r="BU38" s="60"/>
      <c r="BV38" s="60"/>
      <c r="BW38" s="60"/>
      <c r="BX38" s="60"/>
      <c r="BY38" s="60"/>
      <c r="BZ38" s="60"/>
      <c r="CA38" s="60"/>
      <c r="CB38" s="60"/>
      <c r="CC38" s="60"/>
      <c r="CD38" s="60"/>
      <c r="CE38" s="33"/>
      <c r="CF38" s="34"/>
    </row>
    <row r="39" spans="2:88" ht="1.5" customHeight="1">
      <c r="B39" s="20"/>
      <c r="C39" s="48"/>
      <c r="D39" s="48"/>
      <c r="E39" s="48"/>
      <c r="F39" s="48"/>
      <c r="G39" s="48"/>
      <c r="H39" s="24"/>
      <c r="J39" s="31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0"/>
      <c r="AI39" s="60"/>
      <c r="AJ39" s="61"/>
      <c r="AK39" s="61"/>
      <c r="AL39" s="61"/>
      <c r="AM39" s="61"/>
      <c r="AN39" s="61"/>
      <c r="AO39" s="61"/>
      <c r="AP39" s="61"/>
      <c r="AQ39" s="61"/>
      <c r="AR39" s="61"/>
      <c r="AS39" s="61"/>
      <c r="AT39" s="61"/>
      <c r="AU39" s="61"/>
      <c r="AV39" s="61"/>
      <c r="AW39" s="61"/>
      <c r="AX39" s="61"/>
      <c r="AY39" s="61"/>
      <c r="AZ39" s="61"/>
      <c r="BA39" s="61"/>
      <c r="BB39" s="34"/>
      <c r="BE39" s="31"/>
      <c r="BF39" s="33"/>
      <c r="BG39" s="33"/>
      <c r="BH39" s="33"/>
      <c r="BI39" s="33"/>
      <c r="BJ39" s="33"/>
      <c r="BK39" s="33"/>
      <c r="BL39" s="33"/>
      <c r="BM39" s="33"/>
      <c r="BN39" s="33"/>
      <c r="BO39" s="33"/>
      <c r="BP39" s="33"/>
      <c r="BQ39" s="33"/>
      <c r="BR39" s="33"/>
      <c r="BS39" s="33"/>
      <c r="BT39" s="33"/>
      <c r="BU39" s="33"/>
      <c r="BV39" s="33"/>
      <c r="BW39" s="33"/>
      <c r="BX39" s="33"/>
      <c r="BY39" s="33"/>
      <c r="BZ39" s="33"/>
      <c r="CA39" s="33"/>
      <c r="CB39" s="33"/>
      <c r="CC39" s="33"/>
      <c r="CD39" s="33"/>
      <c r="CE39" s="33"/>
      <c r="CF39" s="34"/>
    </row>
    <row r="40" spans="2:88" ht="1.5" customHeight="1">
      <c r="B40" s="20"/>
      <c r="C40" s="48"/>
      <c r="D40" s="48"/>
      <c r="E40" s="48"/>
      <c r="F40" s="48"/>
      <c r="G40" s="48"/>
      <c r="H40" s="24"/>
      <c r="J40" s="31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0"/>
      <c r="AG40" s="60"/>
      <c r="AH40" s="60"/>
      <c r="AI40" s="60"/>
      <c r="AJ40" s="61"/>
      <c r="AK40" s="61"/>
      <c r="AL40" s="61"/>
      <c r="AM40" s="61"/>
      <c r="AN40" s="61"/>
      <c r="AO40" s="61"/>
      <c r="AP40" s="61"/>
      <c r="AQ40" s="61"/>
      <c r="AR40" s="61"/>
      <c r="AS40" s="61"/>
      <c r="AT40" s="61"/>
      <c r="AU40" s="61"/>
      <c r="AV40" s="61"/>
      <c r="AW40" s="61"/>
      <c r="AX40" s="61"/>
      <c r="AY40" s="61"/>
      <c r="AZ40" s="61"/>
      <c r="BA40" s="61"/>
      <c r="BB40" s="34"/>
      <c r="BE40" s="31"/>
      <c r="BF40" s="33"/>
      <c r="BG40" s="33"/>
      <c r="BH40" s="33"/>
      <c r="BI40" s="62" t="s">
        <v>92</v>
      </c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3">
        <f>cfg_Limit</f>
        <v>3.0</v>
      </c>
      <c r="BY40" s="63"/>
      <c r="BZ40" s="63"/>
      <c r="CA40" s="63"/>
      <c r="CB40" s="63"/>
      <c r="CC40" s="33"/>
      <c r="CD40" s="33"/>
      <c r="CE40" s="33"/>
      <c r="CF40" s="34"/>
    </row>
    <row r="41" spans="2:88" ht="21" customHeight="1">
      <c r="B41" s="20"/>
      <c r="C41" s="48"/>
      <c r="D41" s="48"/>
      <c r="E41" s="48"/>
      <c r="F41" s="48"/>
      <c r="G41" s="48"/>
      <c r="H41" s="24"/>
      <c r="J41" s="31"/>
      <c r="K41" s="64" t="s">
        <v>43</v>
      </c>
      <c r="L41" s="65" t="s">
        <v>68</v>
      </c>
      <c r="M41" s="65"/>
      <c r="N41" s="65"/>
      <c r="O41" s="65"/>
      <c r="P41" s="65"/>
      <c r="Q41" s="66" t="s">
        <v>86</v>
      </c>
      <c r="R41" s="66"/>
      <c r="S41" s="66"/>
      <c r="T41" s="66"/>
      <c r="U41" s="66"/>
      <c r="V41" s="66"/>
      <c r="W41" s="66"/>
      <c r="X41" s="66"/>
      <c r="Y41" s="65" t="s">
        <v>87</v>
      </c>
      <c r="Z41" s="65"/>
      <c r="AA41" s="65"/>
      <c r="AB41" s="65"/>
      <c r="AC41" s="65"/>
      <c r="AD41" s="66" t="s">
        <v>88</v>
      </c>
      <c r="AE41" s="66"/>
      <c r="AF41" s="66"/>
      <c r="AG41" s="66"/>
      <c r="AH41" s="66"/>
      <c r="AI41" s="66"/>
      <c r="AJ41" s="66"/>
      <c r="AK41" s="66"/>
      <c r="AL41" s="66"/>
      <c r="AM41" s="66" t="s">
        <v>89</v>
      </c>
      <c r="AN41" s="66"/>
      <c r="AO41" s="66"/>
      <c r="AP41" s="66"/>
      <c r="AQ41" s="66"/>
      <c r="AR41" s="66"/>
      <c r="AS41" s="66"/>
      <c r="AT41" s="66" t="s">
        <v>90</v>
      </c>
      <c r="AU41" s="66"/>
      <c r="AV41" s="66"/>
      <c r="AW41" s="66"/>
      <c r="AX41" s="66"/>
      <c r="AY41" s="66"/>
      <c r="AZ41" s="66"/>
      <c r="BA41" s="66"/>
      <c r="BB41" s="34"/>
      <c r="BE41" s="31"/>
      <c r="BF41" s="33"/>
      <c r="BG41" s="33"/>
      <c r="BH41" s="33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3"/>
      <c r="BY41" s="63"/>
      <c r="BZ41" s="63"/>
      <c r="CA41" s="63"/>
      <c r="CB41" s="63"/>
      <c r="CC41" s="33"/>
      <c r="CD41" s="33"/>
      <c r="CE41" s="33"/>
      <c r="CF41" s="34"/>
    </row>
    <row r="42" spans="2:88" ht="1.5" customHeight="1">
      <c r="B42" s="20"/>
      <c r="C42" s="48"/>
      <c r="D42" s="48"/>
      <c r="E42" s="48"/>
      <c r="F42" s="48"/>
      <c r="G42" s="48"/>
      <c r="H42" s="24"/>
      <c r="J42" s="31"/>
      <c r="K42" s="64"/>
      <c r="L42" s="65"/>
      <c r="M42" s="65"/>
      <c r="N42" s="65"/>
      <c r="O42" s="65"/>
      <c r="P42" s="65"/>
      <c r="Q42" s="66"/>
      <c r="R42" s="66"/>
      <c r="S42" s="66"/>
      <c r="T42" s="66"/>
      <c r="U42" s="66"/>
      <c r="V42" s="66"/>
      <c r="W42" s="66"/>
      <c r="X42" s="66"/>
      <c r="Y42" s="65"/>
      <c r="Z42" s="65"/>
      <c r="AA42" s="65"/>
      <c r="AB42" s="65"/>
      <c r="AC42" s="65"/>
      <c r="AD42" s="66"/>
      <c r="AE42" s="66"/>
      <c r="AF42" s="66"/>
      <c r="AG42" s="66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  <c r="AZ42" s="66"/>
      <c r="BA42" s="66"/>
      <c r="BB42" s="34"/>
      <c r="BE42" s="31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  <c r="CC42" s="33"/>
      <c r="CD42" s="33"/>
      <c r="CE42" s="33"/>
      <c r="CF42" s="34"/>
    </row>
    <row r="43" spans="2:88" ht="6" customHeight="1">
      <c r="B43" s="20"/>
      <c r="C43" s="48"/>
      <c r="D43" s="48"/>
      <c r="E43" s="48"/>
      <c r="F43" s="48"/>
      <c r="G43" s="48"/>
      <c r="H43" s="24"/>
      <c r="J43" s="31"/>
      <c r="K43" s="67" t="str">
        <f>IF('Расчет'!$C$92="","",1)</f>
        <v/>
      </c>
      <c r="L43" s="68" t="str">
        <f>'Расчет'!$C$92</f>
        <v/>
      </c>
      <c r="M43" s="68"/>
      <c r="N43" s="68"/>
      <c r="O43" s="68"/>
      <c r="P43" s="68"/>
      <c r="Q43" s="69" t="str">
        <f>IF('Расчет'!$C$92="","",IF('Расчет'!$D$92="","—",'Расчет'!$D$92))</f>
        <v/>
      </c>
      <c r="R43" s="69"/>
      <c r="S43" s="69"/>
      <c r="T43" s="69"/>
      <c r="U43" s="69"/>
      <c r="V43" s="69"/>
      <c r="W43" s="69"/>
      <c r="X43" s="69"/>
      <c r="Y43" s="70" t="str">
        <f>IF('Расчет'!$C$92="","",CHOOSE('Расчет'!$E$92+1,"●  НЕТ ДАННЫХ","●  НОРМА","●  ВНИМАНИЕ","●  РИСК","●  ПРЕВЫШЕНИЕ"))</f>
        <v/>
      </c>
      <c r="Z43" s="70"/>
      <c r="AA43" s="70"/>
      <c r="AB43" s="70"/>
      <c r="AC43" s="70"/>
      <c r="AD43" s="71" t="str">
        <f>IF('Расчет'!$C$92="","",CHOOSE('Расчет'!$E$92+1,"—",c_ZoneG,c_ZoneY,c_ZoneR,c_ZoneX))</f>
        <v/>
      </c>
      <c r="AE43" s="71"/>
      <c r="AF43" s="71"/>
      <c r="AG43" s="71"/>
      <c r="AH43" s="71"/>
      <c r="AI43" s="71"/>
      <c r="AJ43" s="71"/>
      <c r="AK43" s="71"/>
      <c r="AL43" s="71"/>
      <c r="AM43" s="72" t="str">
        <f>IF(OR('Расчет'!$C$92="",'Расчет'!$F$92=""),"",'Расчет'!$F$92)</f>
        <v/>
      </c>
      <c r="AN43" s="72"/>
      <c r="AO43" s="72"/>
      <c r="AP43" s="72"/>
      <c r="AQ43" s="72"/>
      <c r="AR43" s="73" t="str">
        <f>IF(OR('Расчет'!$C$92="",'Расчет'!$F$92=""),"",IF('Расчет'!$F$92&gt;0.00001,"↑",IF('Расчет'!$F$92&lt;-0.00001,"↓","—")))</f>
        <v/>
      </c>
      <c r="AS43" s="33"/>
      <c r="AT43" s="74"/>
      <c r="AU43" s="74"/>
      <c r="AV43" s="74"/>
      <c r="AW43" s="74"/>
      <c r="AX43" s="74"/>
      <c r="AY43" s="74"/>
      <c r="AZ43" s="74"/>
      <c r="BA43" s="74"/>
      <c r="BB43" s="34"/>
      <c r="BE43" s="31"/>
      <c r="BF43" s="33"/>
      <c r="BG43" s="33"/>
      <c r="BH43" s="33"/>
      <c r="BI43" s="75">
        <f>cfg_Limit</f>
        <v>3.0</v>
      </c>
      <c r="BJ43" s="75"/>
      <c r="BK43" s="75"/>
      <c r="BL43" s="75"/>
      <c r="BM43" s="75"/>
      <c r="BN43" s="33"/>
      <c r="BO43" s="33"/>
      <c r="BP43" s="33"/>
      <c r="BQ43" s="33"/>
      <c r="BR43" s="76"/>
      <c r="BS43" s="76"/>
      <c r="BT43" s="76"/>
      <c r="BU43" s="76"/>
      <c r="BV43" s="76"/>
      <c r="BW43" s="76"/>
      <c r="BX43" s="76"/>
      <c r="BY43" s="76"/>
      <c r="BZ43" s="76"/>
      <c r="CA43" s="76"/>
      <c r="CB43" s="76"/>
      <c r="CC43" s="33"/>
      <c r="CD43" s="33"/>
      <c r="CE43" s="33"/>
      <c r="CF43" s="34"/>
      <c r="CI43">
        <f>'Расчет'!$E$92</f>
        <v>-1.0</v>
      </c>
      <c r="CJ43">
        <f>'Расчет'!$G$92</f>
        <v>0.0</v>
      </c>
    </row>
    <row r="44" spans="2:88" ht="3" customHeight="1">
      <c r="B44" s="20"/>
      <c r="C44" s="48"/>
      <c r="D44" s="48"/>
      <c r="E44" s="48"/>
      <c r="F44" s="48"/>
      <c r="G44" s="48"/>
      <c r="H44" s="24"/>
      <c r="J44" s="31"/>
      <c r="K44" s="67"/>
      <c r="L44" s="68"/>
      <c r="M44" s="68"/>
      <c r="N44" s="68"/>
      <c r="O44" s="68"/>
      <c r="P44" s="68"/>
      <c r="Q44" s="69"/>
      <c r="R44" s="69"/>
      <c r="S44" s="69"/>
      <c r="T44" s="69"/>
      <c r="U44" s="69"/>
      <c r="V44" s="69"/>
      <c r="W44" s="69"/>
      <c r="X44" s="69"/>
      <c r="Y44" s="70"/>
      <c r="Z44" s="70"/>
      <c r="AA44" s="70"/>
      <c r="AB44" s="70"/>
      <c r="AC44" s="70"/>
      <c r="AD44" s="71"/>
      <c r="AE44" s="71"/>
      <c r="AF44" s="71"/>
      <c r="AG44" s="71"/>
      <c r="AH44" s="71"/>
      <c r="AI44" s="71"/>
      <c r="AJ44" s="71"/>
      <c r="AK44" s="71"/>
      <c r="AL44" s="71"/>
      <c r="AM44" s="72"/>
      <c r="AN44" s="72"/>
      <c r="AO44" s="72"/>
      <c r="AP44" s="72"/>
      <c r="AQ44" s="72"/>
      <c r="AR44" s="73"/>
      <c r="AS44" s="33"/>
      <c r="AT44" s="74"/>
      <c r="AU44" s="74"/>
      <c r="AV44" s="74"/>
      <c r="AW44" s="74"/>
      <c r="AX44" s="74"/>
      <c r="AY44" s="74"/>
      <c r="AZ44" s="74"/>
      <c r="BA44" s="74"/>
      <c r="BB44" s="34"/>
      <c r="BE44" s="31"/>
      <c r="BF44" s="33"/>
      <c r="BG44" s="33"/>
      <c r="BH44" s="33"/>
      <c r="BI44" s="75"/>
      <c r="BJ44" s="75"/>
      <c r="BK44" s="75"/>
      <c r="BL44" s="75"/>
      <c r="BM44" s="75"/>
      <c r="BN44" s="33"/>
      <c r="BO44" s="33"/>
      <c r="BP44" s="77"/>
      <c r="BQ44" s="77"/>
      <c r="BR44" s="33"/>
      <c r="BS44" s="33"/>
      <c r="BT44" s="33"/>
      <c r="BU44" s="33"/>
      <c r="BV44" s="33"/>
      <c r="BW44" s="33"/>
      <c r="BX44" s="33"/>
      <c r="BY44" s="33"/>
      <c r="BZ44" s="33"/>
      <c r="CA44" s="33"/>
      <c r="CB44" s="33"/>
      <c r="CC44" s="33"/>
      <c r="CD44" s="33"/>
      <c r="CE44" s="33"/>
      <c r="CF44" s="34"/>
    </row>
    <row r="45" spans="2:88" ht="3" customHeight="1">
      <c r="B45" s="20"/>
      <c r="C45" s="48"/>
      <c r="D45" s="48"/>
      <c r="E45" s="48"/>
      <c r="F45" s="48"/>
      <c r="G45" s="48"/>
      <c r="H45" s="24"/>
      <c r="J45" s="31"/>
      <c r="K45" s="67"/>
      <c r="L45" s="68"/>
      <c r="M45" s="68"/>
      <c r="N45" s="68"/>
      <c r="O45" s="68"/>
      <c r="P45" s="68"/>
      <c r="Q45" s="69"/>
      <c r="R45" s="69"/>
      <c r="S45" s="69"/>
      <c r="T45" s="69"/>
      <c r="U45" s="69"/>
      <c r="V45" s="69"/>
      <c r="W45" s="69"/>
      <c r="X45" s="69"/>
      <c r="Y45" s="70"/>
      <c r="Z45" s="70"/>
      <c r="AA45" s="70"/>
      <c r="AB45" s="70"/>
      <c r="AC45" s="70"/>
      <c r="AD45" s="71"/>
      <c r="AE45" s="71"/>
      <c r="AF45" s="71"/>
      <c r="AG45" s="71"/>
      <c r="AH45" s="71"/>
      <c r="AI45" s="71"/>
      <c r="AJ45" s="71"/>
      <c r="AK45" s="71"/>
      <c r="AL45" s="71"/>
      <c r="AM45" s="72"/>
      <c r="AN45" s="72"/>
      <c r="AO45" s="72"/>
      <c r="AP45" s="72"/>
      <c r="AQ45" s="72"/>
      <c r="AR45" s="73"/>
      <c r="AS45" s="33"/>
      <c r="AT45" s="74"/>
      <c r="AU45" s="74"/>
      <c r="AV45" s="74"/>
      <c r="AW45" s="74"/>
      <c r="AX45" s="74"/>
      <c r="AY45" s="74"/>
      <c r="AZ45" s="74"/>
      <c r="BA45" s="74"/>
      <c r="BB45" s="34"/>
      <c r="BE45" s="31"/>
      <c r="BF45" s="33"/>
      <c r="BG45" s="33"/>
      <c r="BH45" s="33"/>
      <c r="BI45" s="75"/>
      <c r="BJ45" s="75"/>
      <c r="BK45" s="75"/>
      <c r="BL45" s="75"/>
      <c r="BM45" s="75"/>
      <c r="BN45" s="33"/>
      <c r="BO45" s="33"/>
      <c r="BP45" s="77"/>
      <c r="BQ45" s="77"/>
      <c r="BR45" s="33"/>
      <c r="BS45" s="33"/>
      <c r="BT45" s="78" t="str">
        <f>c_ZoneR</f>
        <v>&gt; 2,3 ppm</v>
      </c>
      <c r="BU45" s="78"/>
      <c r="BV45" s="78"/>
      <c r="BW45" s="78"/>
      <c r="BX45" s="78"/>
      <c r="BY45" s="78"/>
      <c r="BZ45" s="78"/>
      <c r="CA45" s="78"/>
      <c r="CB45" s="78"/>
      <c r="CC45" s="33"/>
      <c r="CD45" s="33"/>
      <c r="CE45" s="33"/>
      <c r="CF45" s="34"/>
    </row>
    <row r="46" spans="2:88" ht="7.5" customHeight="1">
      <c r="B46" s="20"/>
      <c r="C46" s="59" t="s">
        <v>69</v>
      </c>
      <c r="D46" s="59"/>
      <c r="E46" s="59"/>
      <c r="F46" s="59"/>
      <c r="G46" s="59"/>
      <c r="H46" s="24"/>
      <c r="J46" s="31"/>
      <c r="K46" s="67"/>
      <c r="L46" s="68"/>
      <c r="M46" s="68"/>
      <c r="N46" s="68"/>
      <c r="O46" s="68"/>
      <c r="P46" s="68"/>
      <c r="Q46" s="69"/>
      <c r="R46" s="69"/>
      <c r="S46" s="69"/>
      <c r="T46" s="69"/>
      <c r="U46" s="69"/>
      <c r="V46" s="69"/>
      <c r="W46" s="69"/>
      <c r="X46" s="69"/>
      <c r="Y46" s="70"/>
      <c r="Z46" s="70"/>
      <c r="AA46" s="70"/>
      <c r="AB46" s="70"/>
      <c r="AC46" s="70"/>
      <c r="AD46" s="71"/>
      <c r="AE46" s="71"/>
      <c r="AF46" s="71"/>
      <c r="AG46" s="71"/>
      <c r="AH46" s="71"/>
      <c r="AI46" s="71"/>
      <c r="AJ46" s="71"/>
      <c r="AK46" s="71"/>
      <c r="AL46" s="71"/>
      <c r="AM46" s="72"/>
      <c r="AN46" s="72"/>
      <c r="AO46" s="72"/>
      <c r="AP46" s="72"/>
      <c r="AQ46" s="72"/>
      <c r="AR46" s="73"/>
      <c r="AS46" s="76"/>
      <c r="AT46" s="74"/>
      <c r="AU46" s="74"/>
      <c r="AV46" s="74"/>
      <c r="AW46" s="74"/>
      <c r="AX46" s="74"/>
      <c r="AY46" s="74"/>
      <c r="AZ46" s="74"/>
      <c r="BA46" s="74"/>
      <c r="BB46" s="34"/>
      <c r="BE46" s="31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77"/>
      <c r="BQ46" s="77"/>
      <c r="BR46" s="33"/>
      <c r="BS46" s="33"/>
      <c r="BT46" s="78"/>
      <c r="BU46" s="78"/>
      <c r="BV46" s="78"/>
      <c r="BW46" s="78"/>
      <c r="BX46" s="78"/>
      <c r="BY46" s="78"/>
      <c r="BZ46" s="78"/>
      <c r="CA46" s="78"/>
      <c r="CB46" s="78"/>
      <c r="CC46" s="33"/>
      <c r="CD46" s="33"/>
      <c r="CE46" s="33"/>
      <c r="CF46" s="34"/>
    </row>
    <row r="47" spans="2:88" ht="4.5" customHeight="1">
      <c r="B47" s="20"/>
      <c r="C47" s="59"/>
      <c r="D47" s="59"/>
      <c r="E47" s="59"/>
      <c r="F47" s="59"/>
      <c r="G47" s="59"/>
      <c r="H47" s="24"/>
      <c r="J47" s="31"/>
      <c r="K47" s="67" t="str">
        <f>IF('Расчет'!$C$93="","",2)</f>
        <v/>
      </c>
      <c r="L47" s="68" t="str">
        <f>'Расчет'!$C$93</f>
        <v/>
      </c>
      <c r="M47" s="68"/>
      <c r="N47" s="68"/>
      <c r="O47" s="68"/>
      <c r="P47" s="68"/>
      <c r="Q47" s="69" t="str">
        <f>IF('Расчет'!$C$93="","",IF('Расчет'!$D$93="","—",'Расчет'!$D$93))</f>
        <v/>
      </c>
      <c r="R47" s="69"/>
      <c r="S47" s="69"/>
      <c r="T47" s="69"/>
      <c r="U47" s="69"/>
      <c r="V47" s="69"/>
      <c r="W47" s="69"/>
      <c r="X47" s="69"/>
      <c r="Y47" s="70" t="str">
        <f>IF('Расчет'!$C$93="","",CHOOSE('Расчет'!$E$93+1,"●  НЕТ ДАННЫХ","●  НОРМА","●  ВНИМАНИЕ","●  РИСК","●  ПРЕВЫШЕНИЕ"))</f>
        <v/>
      </c>
      <c r="Z47" s="70"/>
      <c r="AA47" s="70"/>
      <c r="AB47" s="70"/>
      <c r="AC47" s="70"/>
      <c r="AD47" s="71" t="str">
        <f>IF('Расчет'!$C$93="","",CHOOSE('Расчет'!$E$93+1,"—",c_ZoneG,c_ZoneY,c_ZoneR,c_ZoneX))</f>
        <v/>
      </c>
      <c r="AE47" s="71"/>
      <c r="AF47" s="71"/>
      <c r="AG47" s="71"/>
      <c r="AH47" s="71"/>
      <c r="AI47" s="71"/>
      <c r="AJ47" s="71"/>
      <c r="AK47" s="71"/>
      <c r="AL47" s="71"/>
      <c r="AM47" s="72" t="str">
        <f>IF(OR('Расчет'!$C$93="",'Расчет'!$F$93=""),"",'Расчет'!$F$93)</f>
        <v/>
      </c>
      <c r="AN47" s="72"/>
      <c r="AO47" s="72"/>
      <c r="AP47" s="72"/>
      <c r="AQ47" s="72"/>
      <c r="AR47" s="73" t="str">
        <f>IF(OR('Расчет'!$C$93="",'Расчет'!$F$93=""),"",IF('Расчет'!$F$93&gt;0.00001,"↑",IF('Расчет'!$F$93&lt;-0.00001,"↓","—")))</f>
        <v/>
      </c>
      <c r="AS47" s="33"/>
      <c r="AT47" s="74"/>
      <c r="AU47" s="74"/>
      <c r="AV47" s="74"/>
      <c r="AW47" s="74"/>
      <c r="AX47" s="74"/>
      <c r="AY47" s="74"/>
      <c r="AZ47" s="74"/>
      <c r="BA47" s="74"/>
      <c r="BB47" s="34"/>
      <c r="BE47" s="31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77"/>
      <c r="BQ47" s="77"/>
      <c r="BR47" s="33"/>
      <c r="BS47" s="33"/>
      <c r="BT47" s="78"/>
      <c r="BU47" s="78"/>
      <c r="BV47" s="78"/>
      <c r="BW47" s="78"/>
      <c r="BX47" s="78"/>
      <c r="BY47" s="78"/>
      <c r="BZ47" s="78"/>
      <c r="CA47" s="78"/>
      <c r="CB47" s="78"/>
      <c r="CC47" s="33"/>
      <c r="CD47" s="33"/>
      <c r="CE47" s="33"/>
      <c r="CF47" s="34"/>
      <c r="CI47">
        <f>'Расчет'!$E$93</f>
        <v>-1.0</v>
      </c>
      <c r="CJ47">
        <f>'Расчет'!$G$93</f>
        <v>0.0</v>
      </c>
    </row>
    <row r="48" spans="2:88" ht="6" customHeight="1">
      <c r="B48" s="20"/>
      <c r="C48" s="59"/>
      <c r="D48" s="59"/>
      <c r="E48" s="59"/>
      <c r="F48" s="59"/>
      <c r="G48" s="59"/>
      <c r="H48" s="24"/>
      <c r="J48" s="31"/>
      <c r="K48" s="67"/>
      <c r="L48" s="68"/>
      <c r="M48" s="68"/>
      <c r="N48" s="68"/>
      <c r="O48" s="68"/>
      <c r="P48" s="68"/>
      <c r="Q48" s="69"/>
      <c r="R48" s="69"/>
      <c r="S48" s="69"/>
      <c r="T48" s="69"/>
      <c r="U48" s="69"/>
      <c r="V48" s="69"/>
      <c r="W48" s="69"/>
      <c r="X48" s="69"/>
      <c r="Y48" s="70"/>
      <c r="Z48" s="70"/>
      <c r="AA48" s="70"/>
      <c r="AB48" s="70"/>
      <c r="AC48" s="70"/>
      <c r="AD48" s="71"/>
      <c r="AE48" s="71"/>
      <c r="AF48" s="71"/>
      <c r="AG48" s="71"/>
      <c r="AH48" s="71"/>
      <c r="AI48" s="71"/>
      <c r="AJ48" s="71"/>
      <c r="AK48" s="71"/>
      <c r="AL48" s="71"/>
      <c r="AM48" s="72"/>
      <c r="AN48" s="72"/>
      <c r="AO48" s="72"/>
      <c r="AP48" s="72"/>
      <c r="AQ48" s="72"/>
      <c r="AR48" s="73"/>
      <c r="AS48" s="33"/>
      <c r="AT48" s="74"/>
      <c r="AU48" s="74"/>
      <c r="AV48" s="74"/>
      <c r="AW48" s="74"/>
      <c r="AX48" s="74"/>
      <c r="AY48" s="74"/>
      <c r="AZ48" s="74"/>
      <c r="BA48" s="74"/>
      <c r="BB48" s="34"/>
      <c r="BE48" s="31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77"/>
      <c r="BQ48" s="77"/>
      <c r="BR48" s="33"/>
      <c r="BS48" s="33"/>
      <c r="BT48" s="43" t="s">
        <v>84</v>
      </c>
      <c r="BU48" s="43"/>
      <c r="BV48" s="43"/>
      <c r="BW48" s="43"/>
      <c r="BX48" s="43"/>
      <c r="BY48" s="43"/>
      <c r="BZ48" s="43"/>
      <c r="CA48" s="43"/>
      <c r="CB48" s="43"/>
      <c r="CC48" s="33"/>
      <c r="CD48" s="33"/>
      <c r="CE48" s="33"/>
      <c r="CF48" s="34"/>
    </row>
    <row r="49" spans="2:88" ht="7.5" customHeight="1">
      <c r="B49" s="20"/>
      <c r="C49" s="48"/>
      <c r="D49" s="48"/>
      <c r="E49" s="48"/>
      <c r="F49" s="48"/>
      <c r="G49" s="48"/>
      <c r="H49" s="24"/>
      <c r="J49" s="31"/>
      <c r="K49" s="67"/>
      <c r="L49" s="68"/>
      <c r="M49" s="68"/>
      <c r="N49" s="68"/>
      <c r="O49" s="68"/>
      <c r="P49" s="68"/>
      <c r="Q49" s="69"/>
      <c r="R49" s="69"/>
      <c r="S49" s="69"/>
      <c r="T49" s="69"/>
      <c r="U49" s="69"/>
      <c r="V49" s="69"/>
      <c r="W49" s="69"/>
      <c r="X49" s="69"/>
      <c r="Y49" s="70"/>
      <c r="Z49" s="70"/>
      <c r="AA49" s="70"/>
      <c r="AB49" s="70"/>
      <c r="AC49" s="70"/>
      <c r="AD49" s="71"/>
      <c r="AE49" s="71"/>
      <c r="AF49" s="71"/>
      <c r="AG49" s="71"/>
      <c r="AH49" s="71"/>
      <c r="AI49" s="71"/>
      <c r="AJ49" s="71"/>
      <c r="AK49" s="71"/>
      <c r="AL49" s="71"/>
      <c r="AM49" s="72"/>
      <c r="AN49" s="72"/>
      <c r="AO49" s="72"/>
      <c r="AP49" s="72"/>
      <c r="AQ49" s="72"/>
      <c r="AR49" s="73"/>
      <c r="AS49" s="33"/>
      <c r="AT49" s="74"/>
      <c r="AU49" s="74"/>
      <c r="AV49" s="74"/>
      <c r="AW49" s="74"/>
      <c r="AX49" s="74"/>
      <c r="AY49" s="74"/>
      <c r="AZ49" s="74"/>
      <c r="BA49" s="74"/>
      <c r="BB49" s="34"/>
      <c r="BE49" s="31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77"/>
      <c r="BQ49" s="77"/>
      <c r="BR49" s="33"/>
      <c r="BS49" s="33"/>
      <c r="BT49" s="43"/>
      <c r="BU49" s="43"/>
      <c r="BV49" s="43"/>
      <c r="BW49" s="43"/>
      <c r="BX49" s="43"/>
      <c r="BY49" s="43"/>
      <c r="BZ49" s="43"/>
      <c r="CA49" s="43"/>
      <c r="CB49" s="43"/>
      <c r="CC49" s="33"/>
      <c r="CD49" s="33"/>
      <c r="CE49" s="33"/>
      <c r="CF49" s="34"/>
    </row>
    <row r="50" spans="2:88" ht="1.5" customHeight="1">
      <c r="B50" s="20"/>
      <c r="C50" s="48"/>
      <c r="D50" s="49"/>
      <c r="E50" s="49"/>
      <c r="F50" s="49"/>
      <c r="G50" s="48"/>
      <c r="H50" s="24"/>
      <c r="J50" s="31"/>
      <c r="K50" s="67"/>
      <c r="L50" s="68"/>
      <c r="M50" s="68"/>
      <c r="N50" s="68"/>
      <c r="O50" s="68"/>
      <c r="P50" s="68"/>
      <c r="Q50" s="69"/>
      <c r="R50" s="69"/>
      <c r="S50" s="69"/>
      <c r="T50" s="69"/>
      <c r="U50" s="69"/>
      <c r="V50" s="69"/>
      <c r="W50" s="69"/>
      <c r="X50" s="69"/>
      <c r="Y50" s="70"/>
      <c r="Z50" s="70"/>
      <c r="AA50" s="70"/>
      <c r="AB50" s="70"/>
      <c r="AC50" s="70"/>
      <c r="AD50" s="71"/>
      <c r="AE50" s="71"/>
      <c r="AF50" s="71"/>
      <c r="AG50" s="71"/>
      <c r="AH50" s="71"/>
      <c r="AI50" s="71"/>
      <c r="AJ50" s="71"/>
      <c r="AK50" s="71"/>
      <c r="AL50" s="71"/>
      <c r="AM50" s="72"/>
      <c r="AN50" s="72"/>
      <c r="AO50" s="72"/>
      <c r="AP50" s="72"/>
      <c r="AQ50" s="72"/>
      <c r="AR50" s="73"/>
      <c r="AS50" s="76"/>
      <c r="AT50" s="74"/>
      <c r="AU50" s="74"/>
      <c r="AV50" s="74"/>
      <c r="AW50" s="74"/>
      <c r="AX50" s="74"/>
      <c r="AY50" s="74"/>
      <c r="AZ50" s="74"/>
      <c r="BA50" s="74"/>
      <c r="BB50" s="34"/>
      <c r="BE50" s="31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77"/>
      <c r="BQ50" s="77"/>
      <c r="BR50" s="33"/>
      <c r="BS50" s="33"/>
      <c r="BT50" s="79" t="s">
        <v>93</v>
      </c>
      <c r="BU50" s="79"/>
      <c r="BV50" s="79"/>
      <c r="BW50" s="79"/>
      <c r="BX50" s="79"/>
      <c r="BY50" s="79"/>
      <c r="BZ50" s="79"/>
      <c r="CA50" s="79"/>
      <c r="CB50" s="79"/>
      <c r="CC50" s="33"/>
      <c r="CD50" s="33"/>
      <c r="CE50" s="33"/>
      <c r="CF50" s="34"/>
    </row>
    <row r="51" spans="2:88" ht="12" customHeight="1">
      <c r="B51" s="20"/>
      <c r="C51" s="48"/>
      <c r="D51" s="48"/>
      <c r="E51" s="48"/>
      <c r="F51" s="48"/>
      <c r="G51" s="48"/>
      <c r="H51" s="24"/>
      <c r="J51" s="31"/>
      <c r="K51" s="67" t="str">
        <f>IF('Расчет'!$C$94="","",3)</f>
        <v/>
      </c>
      <c r="L51" s="68" t="str">
        <f>'Расчет'!$C$94</f>
        <v/>
      </c>
      <c r="M51" s="68"/>
      <c r="N51" s="68"/>
      <c r="O51" s="68"/>
      <c r="P51" s="68"/>
      <c r="Q51" s="69" t="str">
        <f>IF('Расчет'!$C$94="","",IF('Расчет'!$D$94="","—",'Расчет'!$D$94))</f>
        <v/>
      </c>
      <c r="R51" s="69"/>
      <c r="S51" s="69"/>
      <c r="T51" s="69"/>
      <c r="U51" s="69"/>
      <c r="V51" s="69"/>
      <c r="W51" s="69"/>
      <c r="X51" s="69"/>
      <c r="Y51" s="70" t="str">
        <f>IF('Расчет'!$C$94="","",CHOOSE('Расчет'!$E$94+1,"●  НЕТ ДАННЫХ","●  НОРМА","●  ВНИМАНИЕ","●  РИСК","●  ПРЕВЫШЕНИЕ"))</f>
        <v/>
      </c>
      <c r="Z51" s="70"/>
      <c r="AA51" s="70"/>
      <c r="AB51" s="70"/>
      <c r="AC51" s="70"/>
      <c r="AD51" s="71" t="str">
        <f>IF('Расчет'!$C$94="","",CHOOSE('Расчет'!$E$94+1,"—",c_ZoneG,c_ZoneY,c_ZoneR,c_ZoneX))</f>
        <v/>
      </c>
      <c r="AE51" s="71"/>
      <c r="AF51" s="71"/>
      <c r="AG51" s="71"/>
      <c r="AH51" s="71"/>
      <c r="AI51" s="71"/>
      <c r="AJ51" s="71"/>
      <c r="AK51" s="71"/>
      <c r="AL51" s="71"/>
      <c r="AM51" s="72" t="str">
        <f>IF(OR('Расчет'!$C$94="",'Расчет'!$F$94=""),"",'Расчет'!$F$94)</f>
        <v/>
      </c>
      <c r="AN51" s="72"/>
      <c r="AO51" s="72"/>
      <c r="AP51" s="72"/>
      <c r="AQ51" s="72"/>
      <c r="AR51" s="73" t="str">
        <f>IF(OR('Расчет'!$C$94="",'Расчет'!$F$94=""),"",IF('Расчет'!$F$94&gt;0.00001,"↑",IF('Расчет'!$F$94&lt;-0.00001,"↓","—")))</f>
        <v/>
      </c>
      <c r="AS51" s="33"/>
      <c r="AT51" s="74"/>
      <c r="AU51" s="74"/>
      <c r="AV51" s="74"/>
      <c r="AW51" s="74"/>
      <c r="AX51" s="74"/>
      <c r="AY51" s="74"/>
      <c r="AZ51" s="74"/>
      <c r="BA51" s="74"/>
      <c r="BB51" s="34"/>
      <c r="BE51" s="31"/>
      <c r="BF51" s="33"/>
      <c r="BG51" s="33"/>
      <c r="BH51" s="33"/>
      <c r="BI51" s="33"/>
      <c r="BJ51" s="33"/>
      <c r="BK51" s="33"/>
      <c r="BL51" s="33"/>
      <c r="BM51" s="33"/>
      <c r="BN51" s="33"/>
      <c r="BO51" s="33"/>
      <c r="BP51" s="77"/>
      <c r="BQ51" s="77"/>
      <c r="BR51" s="33"/>
      <c r="BS51" s="33"/>
      <c r="BT51" s="79"/>
      <c r="BU51" s="79"/>
      <c r="BV51" s="79"/>
      <c r="BW51" s="79"/>
      <c r="BX51" s="79"/>
      <c r="BY51" s="79"/>
      <c r="BZ51" s="79"/>
      <c r="CA51" s="79"/>
      <c r="CB51" s="79"/>
      <c r="CC51" s="33"/>
      <c r="CD51" s="33"/>
      <c r="CE51" s="33"/>
      <c r="CF51" s="34"/>
      <c r="CI51">
        <f>'Расчет'!$E$94</f>
        <v>-1.0</v>
      </c>
      <c r="CJ51">
        <f>'Расчет'!$G$94</f>
        <v>0.0</v>
      </c>
    </row>
    <row r="52" spans="2:88" ht="1.5" customHeight="1">
      <c r="B52" s="20"/>
      <c r="C52" s="48"/>
      <c r="D52" s="48"/>
      <c r="E52" s="48"/>
      <c r="F52" s="48"/>
      <c r="G52" s="48"/>
      <c r="H52" s="24"/>
      <c r="J52" s="31"/>
      <c r="K52" s="67"/>
      <c r="L52" s="68"/>
      <c r="M52" s="68"/>
      <c r="N52" s="68"/>
      <c r="O52" s="68"/>
      <c r="P52" s="68"/>
      <c r="Q52" s="69"/>
      <c r="R52" s="69"/>
      <c r="S52" s="69"/>
      <c r="T52" s="69"/>
      <c r="U52" s="69"/>
      <c r="V52" s="69"/>
      <c r="W52" s="69"/>
      <c r="X52" s="69"/>
      <c r="Y52" s="70"/>
      <c r="Z52" s="70"/>
      <c r="AA52" s="70"/>
      <c r="AB52" s="70"/>
      <c r="AC52" s="70"/>
      <c r="AD52" s="71"/>
      <c r="AE52" s="71"/>
      <c r="AF52" s="71"/>
      <c r="AG52" s="71"/>
      <c r="AH52" s="71"/>
      <c r="AI52" s="71"/>
      <c r="AJ52" s="71"/>
      <c r="AK52" s="71"/>
      <c r="AL52" s="71"/>
      <c r="AM52" s="72"/>
      <c r="AN52" s="72"/>
      <c r="AO52" s="72"/>
      <c r="AP52" s="72"/>
      <c r="AQ52" s="72"/>
      <c r="AR52" s="73"/>
      <c r="AS52" s="33"/>
      <c r="AT52" s="74"/>
      <c r="AU52" s="74"/>
      <c r="AV52" s="74"/>
      <c r="AW52" s="74"/>
      <c r="AX52" s="74"/>
      <c r="AY52" s="74"/>
      <c r="AZ52" s="74"/>
      <c r="BA52" s="74"/>
      <c r="BB52" s="34"/>
      <c r="BE52" s="31"/>
      <c r="BF52" s="33"/>
      <c r="BG52" s="33"/>
      <c r="BH52" s="33"/>
      <c r="BI52" s="33"/>
      <c r="BJ52" s="33"/>
      <c r="BK52" s="33"/>
      <c r="BL52" s="33"/>
      <c r="BM52" s="33"/>
      <c r="BN52" s="33"/>
      <c r="BO52" s="33"/>
      <c r="BP52" s="77"/>
      <c r="BQ52" s="77"/>
      <c r="BR52" s="33"/>
      <c r="BS52" s="33"/>
      <c r="BT52" s="33"/>
      <c r="BU52" s="33"/>
      <c r="BV52" s="33"/>
      <c r="BW52" s="33"/>
      <c r="BX52" s="33"/>
      <c r="BY52" s="33"/>
      <c r="BZ52" s="33"/>
      <c r="CA52" s="33"/>
      <c r="CB52" s="33"/>
      <c r="CC52" s="33"/>
      <c r="CD52" s="33"/>
      <c r="CE52" s="33"/>
      <c r="CF52" s="34"/>
    </row>
    <row r="53" spans="2:88" ht="6" customHeight="1">
      <c r="B53" s="20"/>
      <c r="C53" s="48"/>
      <c r="D53" s="48"/>
      <c r="E53" s="48"/>
      <c r="F53" s="48"/>
      <c r="G53" s="48"/>
      <c r="H53" s="24"/>
      <c r="J53" s="31"/>
      <c r="K53" s="67"/>
      <c r="L53" s="68"/>
      <c r="M53" s="68"/>
      <c r="N53" s="68"/>
      <c r="O53" s="68"/>
      <c r="P53" s="68"/>
      <c r="Q53" s="69"/>
      <c r="R53" s="69"/>
      <c r="S53" s="69"/>
      <c r="T53" s="69"/>
      <c r="U53" s="69"/>
      <c r="V53" s="69"/>
      <c r="W53" s="69"/>
      <c r="X53" s="69"/>
      <c r="Y53" s="70"/>
      <c r="Z53" s="70"/>
      <c r="AA53" s="70"/>
      <c r="AB53" s="70"/>
      <c r="AC53" s="70"/>
      <c r="AD53" s="71"/>
      <c r="AE53" s="71"/>
      <c r="AF53" s="71"/>
      <c r="AG53" s="71"/>
      <c r="AH53" s="71"/>
      <c r="AI53" s="71"/>
      <c r="AJ53" s="71"/>
      <c r="AK53" s="71"/>
      <c r="AL53" s="71"/>
      <c r="AM53" s="72"/>
      <c r="AN53" s="72"/>
      <c r="AO53" s="72"/>
      <c r="AP53" s="72"/>
      <c r="AQ53" s="72"/>
      <c r="AR53" s="73"/>
      <c r="AS53" s="76"/>
      <c r="AT53" s="74"/>
      <c r="AU53" s="74"/>
      <c r="AV53" s="74"/>
      <c r="AW53" s="74"/>
      <c r="AX53" s="74"/>
      <c r="AY53" s="74"/>
      <c r="AZ53" s="74"/>
      <c r="BA53" s="74"/>
      <c r="BB53" s="34"/>
      <c r="BE53" s="31"/>
      <c r="BF53" s="33"/>
      <c r="BG53" s="33"/>
      <c r="BH53" s="33"/>
      <c r="BI53" s="75">
        <f>cfg_Yellow</f>
        <v>2.3</v>
      </c>
      <c r="BJ53" s="75"/>
      <c r="BK53" s="75"/>
      <c r="BL53" s="75"/>
      <c r="BM53" s="75"/>
      <c r="BN53" s="33"/>
      <c r="BO53" s="33"/>
      <c r="BP53" s="77"/>
      <c r="BQ53" s="77"/>
      <c r="BR53" s="76"/>
      <c r="BS53" s="76"/>
      <c r="BT53" s="76"/>
      <c r="BU53" s="76"/>
      <c r="BV53" s="76"/>
      <c r="BW53" s="76"/>
      <c r="BX53" s="76"/>
      <c r="BY53" s="76"/>
      <c r="BZ53" s="76"/>
      <c r="CA53" s="76"/>
      <c r="CB53" s="76"/>
      <c r="CC53" s="33"/>
      <c r="CD53" s="33"/>
      <c r="CE53" s="33"/>
      <c r="CF53" s="34"/>
    </row>
    <row r="54" spans="2:88" ht="4.5" customHeight="1">
      <c r="B54" s="20"/>
      <c r="C54" s="48"/>
      <c r="D54" s="48"/>
      <c r="E54" s="48"/>
      <c r="F54" s="48"/>
      <c r="G54" s="48"/>
      <c r="H54" s="24"/>
      <c r="J54" s="31"/>
      <c r="K54" s="67" t="str">
        <f>IF('Расчет'!$C$95="","",4)</f>
        <v/>
      </c>
      <c r="L54" s="68" t="str">
        <f>'Расчет'!$C$95</f>
        <v/>
      </c>
      <c r="M54" s="68"/>
      <c r="N54" s="68"/>
      <c r="O54" s="68"/>
      <c r="P54" s="68"/>
      <c r="Q54" s="69" t="str">
        <f>IF('Расчет'!$C$95="","",IF('Расчет'!$D$95="","—",'Расчет'!$D$95))</f>
        <v/>
      </c>
      <c r="R54" s="69"/>
      <c r="S54" s="69"/>
      <c r="T54" s="69"/>
      <c r="U54" s="69"/>
      <c r="V54" s="69"/>
      <c r="W54" s="69"/>
      <c r="X54" s="69"/>
      <c r="Y54" s="70" t="str">
        <f>IF('Расчет'!$C$95="","",CHOOSE('Расчет'!$E$95+1,"●  НЕТ ДАННЫХ","●  НОРМА","●  ВНИМАНИЕ","●  РИСК","●  ПРЕВЫШЕНИЕ"))</f>
        <v/>
      </c>
      <c r="Z54" s="70"/>
      <c r="AA54" s="70"/>
      <c r="AB54" s="70"/>
      <c r="AC54" s="70"/>
      <c r="AD54" s="71" t="str">
        <f>IF('Расчет'!$C$95="","",CHOOSE('Расчет'!$E$95+1,"—",c_ZoneG,c_ZoneY,c_ZoneR,c_ZoneX))</f>
        <v/>
      </c>
      <c r="AE54" s="71"/>
      <c r="AF54" s="71"/>
      <c r="AG54" s="71"/>
      <c r="AH54" s="71"/>
      <c r="AI54" s="71"/>
      <c r="AJ54" s="71"/>
      <c r="AK54" s="71"/>
      <c r="AL54" s="71"/>
      <c r="AM54" s="72" t="str">
        <f>IF(OR('Расчет'!$C$95="",'Расчет'!$F$95=""),"",'Расчет'!$F$95)</f>
        <v/>
      </c>
      <c r="AN54" s="72"/>
      <c r="AO54" s="72"/>
      <c r="AP54" s="72"/>
      <c r="AQ54" s="72"/>
      <c r="AR54" s="73" t="str">
        <f>IF(OR('Расчет'!$C$95="",'Расчет'!$F$95=""),"",IF('Расчет'!$F$95&gt;0.00001,"↑",IF('Расчет'!$F$95&lt;-0.00001,"↓","—")))</f>
        <v/>
      </c>
      <c r="AS54" s="33"/>
      <c r="AT54" s="74"/>
      <c r="AU54" s="74"/>
      <c r="AV54" s="74"/>
      <c r="AW54" s="74"/>
      <c r="AX54" s="74"/>
      <c r="AY54" s="74"/>
      <c r="AZ54" s="74"/>
      <c r="BA54" s="74"/>
      <c r="BB54" s="34"/>
      <c r="BE54" s="31"/>
      <c r="BF54" s="33"/>
      <c r="BG54" s="33"/>
      <c r="BH54" s="33"/>
      <c r="BI54" s="75"/>
      <c r="BJ54" s="75"/>
      <c r="BK54" s="75"/>
      <c r="BL54" s="75"/>
      <c r="BM54" s="75"/>
      <c r="BN54" s="33"/>
      <c r="BO54" s="33"/>
      <c r="BP54" s="80"/>
      <c r="BQ54" s="80"/>
      <c r="BR54" s="33"/>
      <c r="BS54" s="33"/>
      <c r="BT54" s="33"/>
      <c r="BU54" s="33"/>
      <c r="BV54" s="33"/>
      <c r="BW54" s="33"/>
      <c r="BX54" s="33"/>
      <c r="BY54" s="33"/>
      <c r="BZ54" s="33"/>
      <c r="CA54" s="33"/>
      <c r="CB54" s="33"/>
      <c r="CC54" s="33"/>
      <c r="CD54" s="33"/>
      <c r="CE54" s="33"/>
      <c r="CF54" s="34"/>
      <c r="CI54">
        <f>'Расчет'!$E$95</f>
        <v>-1.0</v>
      </c>
      <c r="CJ54">
        <f>'Расчет'!$G$95</f>
        <v>0.0</v>
      </c>
    </row>
    <row r="55" spans="2:88" ht="1.5" customHeight="1">
      <c r="B55" s="20"/>
      <c r="C55" s="48"/>
      <c r="D55" s="48"/>
      <c r="E55" s="48"/>
      <c r="F55" s="48"/>
      <c r="G55" s="48"/>
      <c r="H55" s="24"/>
      <c r="J55" s="31"/>
      <c r="K55" s="67"/>
      <c r="L55" s="68"/>
      <c r="M55" s="68"/>
      <c r="N55" s="68"/>
      <c r="O55" s="68"/>
      <c r="P55" s="68"/>
      <c r="Q55" s="69"/>
      <c r="R55" s="69"/>
      <c r="S55" s="69"/>
      <c r="T55" s="69"/>
      <c r="U55" s="69"/>
      <c r="V55" s="69"/>
      <c r="W55" s="69"/>
      <c r="X55" s="69"/>
      <c r="Y55" s="70"/>
      <c r="Z55" s="70"/>
      <c r="AA55" s="70"/>
      <c r="AB55" s="70"/>
      <c r="AC55" s="70"/>
      <c r="AD55" s="71"/>
      <c r="AE55" s="71"/>
      <c r="AF55" s="71"/>
      <c r="AG55" s="71"/>
      <c r="AH55" s="71"/>
      <c r="AI55" s="71"/>
      <c r="AJ55" s="71"/>
      <c r="AK55" s="71"/>
      <c r="AL55" s="71"/>
      <c r="AM55" s="72"/>
      <c r="AN55" s="72"/>
      <c r="AO55" s="72"/>
      <c r="AP55" s="72"/>
      <c r="AQ55" s="72"/>
      <c r="AR55" s="73"/>
      <c r="AS55" s="33"/>
      <c r="AT55" s="74"/>
      <c r="AU55" s="74"/>
      <c r="AV55" s="74"/>
      <c r="AW55" s="74"/>
      <c r="AX55" s="74"/>
      <c r="AY55" s="74"/>
      <c r="AZ55" s="74"/>
      <c r="BA55" s="74"/>
      <c r="BB55" s="34"/>
      <c r="BE55" s="31"/>
      <c r="BF55" s="33"/>
      <c r="BG55" s="33"/>
      <c r="BH55" s="33"/>
      <c r="BI55" s="75"/>
      <c r="BJ55" s="75"/>
      <c r="BK55" s="75"/>
      <c r="BL55" s="75"/>
      <c r="BM55" s="75"/>
      <c r="BN55" s="33"/>
      <c r="BO55" s="33"/>
      <c r="BP55" s="80"/>
      <c r="BQ55" s="80"/>
      <c r="BR55" s="33"/>
      <c r="BS55" s="33"/>
      <c r="BT55" s="81" t="str">
        <f>c_ZoneY</f>
        <v>1,5 – 2,3 ppm</v>
      </c>
      <c r="BU55" s="81"/>
      <c r="BV55" s="81"/>
      <c r="BW55" s="81"/>
      <c r="BX55" s="81"/>
      <c r="BY55" s="81"/>
      <c r="BZ55" s="81"/>
      <c r="CA55" s="81"/>
      <c r="CB55" s="81"/>
      <c r="CC55" s="33"/>
      <c r="CD55" s="33"/>
      <c r="CE55" s="33"/>
      <c r="CF55" s="34"/>
    </row>
    <row r="56" spans="2:88" ht="13.5" customHeight="1">
      <c r="B56" s="20"/>
      <c r="C56" s="48"/>
      <c r="D56" s="48"/>
      <c r="E56" s="48"/>
      <c r="F56" s="48"/>
      <c r="G56" s="48"/>
      <c r="H56" s="24"/>
      <c r="J56" s="31"/>
      <c r="K56" s="67"/>
      <c r="L56" s="68"/>
      <c r="M56" s="68"/>
      <c r="N56" s="68"/>
      <c r="O56" s="68"/>
      <c r="P56" s="68"/>
      <c r="Q56" s="69"/>
      <c r="R56" s="69"/>
      <c r="S56" s="69"/>
      <c r="T56" s="69"/>
      <c r="U56" s="69"/>
      <c r="V56" s="69"/>
      <c r="W56" s="69"/>
      <c r="X56" s="69"/>
      <c r="Y56" s="70"/>
      <c r="Z56" s="70"/>
      <c r="AA56" s="70"/>
      <c r="AB56" s="70"/>
      <c r="AC56" s="70"/>
      <c r="AD56" s="71"/>
      <c r="AE56" s="71"/>
      <c r="AF56" s="71"/>
      <c r="AG56" s="71"/>
      <c r="AH56" s="71"/>
      <c r="AI56" s="71"/>
      <c r="AJ56" s="71"/>
      <c r="AK56" s="71"/>
      <c r="AL56" s="71"/>
      <c r="AM56" s="72"/>
      <c r="AN56" s="72"/>
      <c r="AO56" s="72"/>
      <c r="AP56" s="72"/>
      <c r="AQ56" s="72"/>
      <c r="AR56" s="73"/>
      <c r="AS56" s="76"/>
      <c r="AT56" s="74"/>
      <c r="AU56" s="74"/>
      <c r="AV56" s="74"/>
      <c r="AW56" s="74"/>
      <c r="AX56" s="74"/>
      <c r="AY56" s="74"/>
      <c r="AZ56" s="74"/>
      <c r="BA56" s="74"/>
      <c r="BB56" s="34"/>
      <c r="BE56" s="31"/>
      <c r="BF56" s="33"/>
      <c r="BG56" s="33"/>
      <c r="BH56" s="33"/>
      <c r="BI56" s="33"/>
      <c r="BJ56" s="33"/>
      <c r="BK56" s="33"/>
      <c r="BL56" s="33"/>
      <c r="BM56" s="33"/>
      <c r="BN56" s="33"/>
      <c r="BO56" s="33"/>
      <c r="BP56" s="80"/>
      <c r="BQ56" s="80"/>
      <c r="BR56" s="33"/>
      <c r="BS56" s="33"/>
      <c r="BT56" s="81"/>
      <c r="BU56" s="81"/>
      <c r="BV56" s="81"/>
      <c r="BW56" s="81"/>
      <c r="BX56" s="81"/>
      <c r="BY56" s="81"/>
      <c r="BZ56" s="81"/>
      <c r="CA56" s="81"/>
      <c r="CB56" s="81"/>
      <c r="CC56" s="33"/>
      <c r="CD56" s="33"/>
      <c r="CE56" s="33"/>
      <c r="CF56" s="34"/>
    </row>
    <row r="57" spans="2:88" ht="1.5" customHeight="1">
      <c r="B57" s="20"/>
      <c r="C57" s="48"/>
      <c r="D57" s="48"/>
      <c r="E57" s="48"/>
      <c r="F57" s="48"/>
      <c r="G57" s="48"/>
      <c r="H57" s="24"/>
      <c r="J57" s="31"/>
      <c r="K57" s="67" t="str">
        <f>IF('Расчет'!$C$96="","",5)</f>
        <v/>
      </c>
      <c r="L57" s="68" t="str">
        <f>'Расчет'!$C$96</f>
        <v/>
      </c>
      <c r="M57" s="68"/>
      <c r="N57" s="68"/>
      <c r="O57" s="68"/>
      <c r="P57" s="68"/>
      <c r="Q57" s="69" t="str">
        <f>IF('Расчет'!$C$96="","",IF('Расчет'!$D$96="","—",'Расчет'!$D$96))</f>
        <v/>
      </c>
      <c r="R57" s="69"/>
      <c r="S57" s="69"/>
      <c r="T57" s="69"/>
      <c r="U57" s="69"/>
      <c r="V57" s="69"/>
      <c r="W57" s="69"/>
      <c r="X57" s="69"/>
      <c r="Y57" s="70" t="str">
        <f>IF('Расчет'!$C$96="","",CHOOSE('Расчет'!$E$96+1,"●  НЕТ ДАННЫХ","●  НОРМА","●  ВНИМАНИЕ","●  РИСК","●  ПРЕВЫШЕНИЕ"))</f>
        <v/>
      </c>
      <c r="Z57" s="70"/>
      <c r="AA57" s="70"/>
      <c r="AB57" s="70"/>
      <c r="AC57" s="70"/>
      <c r="AD57" s="71" t="str">
        <f>IF('Расчет'!$C$96="","",CHOOSE('Расчет'!$E$96+1,"—",c_ZoneG,c_ZoneY,c_ZoneR,c_ZoneX))</f>
        <v/>
      </c>
      <c r="AE57" s="71"/>
      <c r="AF57" s="71"/>
      <c r="AG57" s="71"/>
      <c r="AH57" s="71"/>
      <c r="AI57" s="71"/>
      <c r="AJ57" s="71"/>
      <c r="AK57" s="71"/>
      <c r="AL57" s="71"/>
      <c r="AM57" s="72" t="str">
        <f>IF(OR('Расчет'!$C$96="",'Расчет'!$F$96=""),"",'Расчет'!$F$96)</f>
        <v/>
      </c>
      <c r="AN57" s="72"/>
      <c r="AO57" s="72"/>
      <c r="AP57" s="72"/>
      <c r="AQ57" s="72"/>
      <c r="AR57" s="73" t="str">
        <f>IF(OR('Расчет'!$C$96="",'Расчет'!$F$96=""),"",IF('Расчет'!$F$96&gt;0.00001,"↑",IF('Расчет'!$F$96&lt;-0.00001,"↓","—")))</f>
        <v/>
      </c>
      <c r="AS57" s="33"/>
      <c r="AT57" s="74"/>
      <c r="AU57" s="74"/>
      <c r="AV57" s="74"/>
      <c r="AW57" s="74"/>
      <c r="AX57" s="74"/>
      <c r="AY57" s="74"/>
      <c r="AZ57" s="74"/>
      <c r="BA57" s="74"/>
      <c r="BB57" s="34"/>
      <c r="BE57" s="31"/>
      <c r="BF57" s="33"/>
      <c r="BG57" s="33"/>
      <c r="BH57" s="33"/>
      <c r="BI57" s="33"/>
      <c r="BJ57" s="33"/>
      <c r="BK57" s="33"/>
      <c r="BL57" s="33"/>
      <c r="BM57" s="33"/>
      <c r="BN57" s="33"/>
      <c r="BO57" s="33"/>
      <c r="BP57" s="80"/>
      <c r="BQ57" s="80"/>
      <c r="BR57" s="33"/>
      <c r="BS57" s="33"/>
      <c r="BT57" s="42" t="s">
        <v>83</v>
      </c>
      <c r="BU57" s="42"/>
      <c r="BV57" s="42"/>
      <c r="BW57" s="42"/>
      <c r="BX57" s="42"/>
      <c r="BY57" s="42"/>
      <c r="BZ57" s="42"/>
      <c r="CA57" s="42"/>
      <c r="CB57" s="42"/>
      <c r="CC57" s="33"/>
      <c r="CD57" s="33"/>
      <c r="CE57" s="33"/>
      <c r="CF57" s="34"/>
      <c r="CI57">
        <f>'Расчет'!$E$96</f>
        <v>-1.0</v>
      </c>
      <c r="CJ57">
        <f>'Расчет'!$G$96</f>
        <v>0.0</v>
      </c>
    </row>
    <row r="58" spans="2:88" ht="12" customHeight="1">
      <c r="B58" s="20"/>
      <c r="C58" s="59" t="s">
        <v>70</v>
      </c>
      <c r="D58" s="59"/>
      <c r="E58" s="59"/>
      <c r="F58" s="59"/>
      <c r="G58" s="59"/>
      <c r="H58" s="24"/>
      <c r="J58" s="31"/>
      <c r="K58" s="67"/>
      <c r="L58" s="68"/>
      <c r="M58" s="68"/>
      <c r="N58" s="68"/>
      <c r="O58" s="68"/>
      <c r="P58" s="68"/>
      <c r="Q58" s="69"/>
      <c r="R58" s="69"/>
      <c r="S58" s="69"/>
      <c r="T58" s="69"/>
      <c r="U58" s="69"/>
      <c r="V58" s="69"/>
      <c r="W58" s="69"/>
      <c r="X58" s="69"/>
      <c r="Y58" s="70"/>
      <c r="Z58" s="70"/>
      <c r="AA58" s="70"/>
      <c r="AB58" s="70"/>
      <c r="AC58" s="70"/>
      <c r="AD58" s="71"/>
      <c r="AE58" s="71"/>
      <c r="AF58" s="71"/>
      <c r="AG58" s="71"/>
      <c r="AH58" s="71"/>
      <c r="AI58" s="71"/>
      <c r="AJ58" s="71"/>
      <c r="AK58" s="71"/>
      <c r="AL58" s="71"/>
      <c r="AM58" s="72"/>
      <c r="AN58" s="72"/>
      <c r="AO58" s="72"/>
      <c r="AP58" s="72"/>
      <c r="AQ58" s="72"/>
      <c r="AR58" s="73"/>
      <c r="AS58" s="33"/>
      <c r="AT58" s="74"/>
      <c r="AU58" s="74"/>
      <c r="AV58" s="74"/>
      <c r="AW58" s="74"/>
      <c r="AX58" s="74"/>
      <c r="AY58" s="74"/>
      <c r="AZ58" s="74"/>
      <c r="BA58" s="74"/>
      <c r="BB58" s="34"/>
      <c r="BE58" s="31"/>
      <c r="BF58" s="33"/>
      <c r="BG58" s="33"/>
      <c r="BH58" s="33"/>
      <c r="BI58" s="33"/>
      <c r="BJ58" s="33"/>
      <c r="BK58" s="33"/>
      <c r="BL58" s="33"/>
      <c r="BM58" s="33"/>
      <c r="BN58" s="33"/>
      <c r="BO58" s="33"/>
      <c r="BP58" s="80"/>
      <c r="BQ58" s="80"/>
      <c r="BR58" s="33"/>
      <c r="BS58" s="33"/>
      <c r="BT58" s="42"/>
      <c r="BU58" s="42"/>
      <c r="BV58" s="42"/>
      <c r="BW58" s="42"/>
      <c r="BX58" s="42"/>
      <c r="BY58" s="42"/>
      <c r="BZ58" s="42"/>
      <c r="CA58" s="42"/>
      <c r="CB58" s="42"/>
      <c r="CC58" s="33"/>
      <c r="CD58" s="33"/>
      <c r="CE58" s="33"/>
      <c r="CF58" s="34"/>
    </row>
    <row r="59" spans="2:88" ht="6" customHeight="1">
      <c r="B59" s="20"/>
      <c r="C59" s="59"/>
      <c r="D59" s="59"/>
      <c r="E59" s="59"/>
      <c r="F59" s="59"/>
      <c r="G59" s="59"/>
      <c r="H59" s="24"/>
      <c r="J59" s="31"/>
      <c r="K59" s="67"/>
      <c r="L59" s="68"/>
      <c r="M59" s="68"/>
      <c r="N59" s="68"/>
      <c r="O59" s="68"/>
      <c r="P59" s="68"/>
      <c r="Q59" s="69"/>
      <c r="R59" s="69"/>
      <c r="S59" s="69"/>
      <c r="T59" s="69"/>
      <c r="U59" s="69"/>
      <c r="V59" s="69"/>
      <c r="W59" s="69"/>
      <c r="X59" s="69"/>
      <c r="Y59" s="70"/>
      <c r="Z59" s="70"/>
      <c r="AA59" s="70"/>
      <c r="AB59" s="70"/>
      <c r="AC59" s="70"/>
      <c r="AD59" s="71"/>
      <c r="AE59" s="71"/>
      <c r="AF59" s="71"/>
      <c r="AG59" s="71"/>
      <c r="AH59" s="71"/>
      <c r="AI59" s="71"/>
      <c r="AJ59" s="71"/>
      <c r="AK59" s="71"/>
      <c r="AL59" s="71"/>
      <c r="AM59" s="72"/>
      <c r="AN59" s="72"/>
      <c r="AO59" s="72"/>
      <c r="AP59" s="72"/>
      <c r="AQ59" s="72"/>
      <c r="AR59" s="73"/>
      <c r="AS59" s="76"/>
      <c r="AT59" s="74"/>
      <c r="AU59" s="74"/>
      <c r="AV59" s="74"/>
      <c r="AW59" s="74"/>
      <c r="AX59" s="74"/>
      <c r="AY59" s="74"/>
      <c r="AZ59" s="74"/>
      <c r="BA59" s="74"/>
      <c r="BB59" s="34"/>
      <c r="BE59" s="31"/>
      <c r="BF59" s="33"/>
      <c r="BG59" s="33"/>
      <c r="BH59" s="33"/>
      <c r="BI59" s="33"/>
      <c r="BJ59" s="33"/>
      <c r="BK59" s="33"/>
      <c r="BL59" s="33"/>
      <c r="BM59" s="33"/>
      <c r="BN59" s="33"/>
      <c r="BO59" s="33"/>
      <c r="BP59" s="80"/>
      <c r="BQ59" s="80"/>
      <c r="BR59" s="33"/>
      <c r="BS59" s="33"/>
      <c r="BT59" s="79" t="s">
        <v>94</v>
      </c>
      <c r="BU59" s="79"/>
      <c r="BV59" s="79"/>
      <c r="BW59" s="79"/>
      <c r="BX59" s="79"/>
      <c r="BY59" s="79"/>
      <c r="BZ59" s="79"/>
      <c r="CA59" s="79"/>
      <c r="CB59" s="79"/>
      <c r="CC59" s="33"/>
      <c r="CD59" s="33"/>
      <c r="CE59" s="33"/>
      <c r="CF59" s="34"/>
    </row>
    <row r="60" spans="2:88" ht="7.5" customHeight="1">
      <c r="B60" s="20"/>
      <c r="C60" s="48"/>
      <c r="D60" s="48"/>
      <c r="E60" s="48"/>
      <c r="F60" s="48"/>
      <c r="G60" s="48"/>
      <c r="H60" s="24"/>
      <c r="J60" s="31"/>
      <c r="K60" s="67" t="str">
        <f>IF('Расчет'!$C$97="","",6)</f>
        <v/>
      </c>
      <c r="L60" s="68" t="str">
        <f>'Расчет'!$C$97</f>
        <v/>
      </c>
      <c r="M60" s="68"/>
      <c r="N60" s="68"/>
      <c r="O60" s="68"/>
      <c r="P60" s="68"/>
      <c r="Q60" s="69" t="str">
        <f>IF('Расчет'!$C$97="","",IF('Расчет'!$D$97="","—",'Расчет'!$D$97))</f>
        <v/>
      </c>
      <c r="R60" s="69"/>
      <c r="S60" s="69"/>
      <c r="T60" s="69"/>
      <c r="U60" s="69"/>
      <c r="V60" s="69"/>
      <c r="W60" s="69"/>
      <c r="X60" s="69"/>
      <c r="Y60" s="70" t="str">
        <f>IF('Расчет'!$C$97="","",CHOOSE('Расчет'!$E$97+1,"●  НЕТ ДАННЫХ","●  НОРМА","●  ВНИМАНИЕ","●  РИСК","●  ПРЕВЫШЕНИЕ"))</f>
        <v/>
      </c>
      <c r="Z60" s="70"/>
      <c r="AA60" s="70"/>
      <c r="AB60" s="70"/>
      <c r="AC60" s="70"/>
      <c r="AD60" s="71" t="str">
        <f>IF('Расчет'!$C$97="","",CHOOSE('Расчет'!$E$97+1,"—",c_ZoneG,c_ZoneY,c_ZoneR,c_ZoneX))</f>
        <v/>
      </c>
      <c r="AE60" s="71"/>
      <c r="AF60" s="71"/>
      <c r="AG60" s="71"/>
      <c r="AH60" s="71"/>
      <c r="AI60" s="71"/>
      <c r="AJ60" s="71"/>
      <c r="AK60" s="71"/>
      <c r="AL60" s="71"/>
      <c r="AM60" s="72" t="str">
        <f>IF(OR('Расчет'!$C$97="",'Расчет'!$F$97=""),"",'Расчет'!$F$97)</f>
        <v/>
      </c>
      <c r="AN60" s="72"/>
      <c r="AO60" s="72"/>
      <c r="AP60" s="72"/>
      <c r="AQ60" s="72"/>
      <c r="AR60" s="73" t="str">
        <f>IF(OR('Расчет'!$C$97="",'Расчет'!$F$97=""),"",IF('Расчет'!$F$97&gt;0.00001,"↑",IF('Расчет'!$F$97&lt;-0.00001,"↓","—")))</f>
        <v/>
      </c>
      <c r="AS60" s="33"/>
      <c r="AT60" s="74"/>
      <c r="AU60" s="74"/>
      <c r="AV60" s="74"/>
      <c r="AW60" s="74"/>
      <c r="AX60" s="74"/>
      <c r="AY60" s="74"/>
      <c r="AZ60" s="74"/>
      <c r="BA60" s="74"/>
      <c r="BB60" s="34"/>
      <c r="BE60" s="31"/>
      <c r="BF60" s="33"/>
      <c r="BG60" s="33"/>
      <c r="BH60" s="33"/>
      <c r="BI60" s="33"/>
      <c r="BJ60" s="33"/>
      <c r="BK60" s="33"/>
      <c r="BL60" s="33"/>
      <c r="BM60" s="33"/>
      <c r="BN60" s="33"/>
      <c r="BO60" s="33"/>
      <c r="BP60" s="80"/>
      <c r="BQ60" s="80"/>
      <c r="BR60" s="33"/>
      <c r="BS60" s="33"/>
      <c r="BT60" s="79"/>
      <c r="BU60" s="79"/>
      <c r="BV60" s="79"/>
      <c r="BW60" s="79"/>
      <c r="BX60" s="79"/>
      <c r="BY60" s="79"/>
      <c r="BZ60" s="79"/>
      <c r="CA60" s="79"/>
      <c r="CB60" s="79"/>
      <c r="CC60" s="33"/>
      <c r="CD60" s="33"/>
      <c r="CE60" s="33"/>
      <c r="CF60" s="34"/>
      <c r="CI60">
        <f>'Расчет'!$E$97</f>
        <v>-1.0</v>
      </c>
      <c r="CJ60">
        <f>'Расчет'!$G$97</f>
        <v>0.0</v>
      </c>
    </row>
    <row r="61" spans="2:88" ht="1.5" customHeight="1">
      <c r="B61" s="20"/>
      <c r="C61" s="48"/>
      <c r="D61" s="49"/>
      <c r="E61" s="49"/>
      <c r="F61" s="49"/>
      <c r="G61" s="48"/>
      <c r="H61" s="24"/>
      <c r="J61" s="31"/>
      <c r="K61" s="67"/>
      <c r="L61" s="68"/>
      <c r="M61" s="68"/>
      <c r="N61" s="68"/>
      <c r="O61" s="68"/>
      <c r="P61" s="68"/>
      <c r="Q61" s="69"/>
      <c r="R61" s="69"/>
      <c r="S61" s="69"/>
      <c r="T61" s="69"/>
      <c r="U61" s="69"/>
      <c r="V61" s="69"/>
      <c r="W61" s="69"/>
      <c r="X61" s="69"/>
      <c r="Y61" s="70"/>
      <c r="Z61" s="70"/>
      <c r="AA61" s="70"/>
      <c r="AB61" s="70"/>
      <c r="AC61" s="70"/>
      <c r="AD61" s="71"/>
      <c r="AE61" s="71"/>
      <c r="AF61" s="71"/>
      <c r="AG61" s="71"/>
      <c r="AH61" s="71"/>
      <c r="AI61" s="71"/>
      <c r="AJ61" s="71"/>
      <c r="AK61" s="71"/>
      <c r="AL61" s="71"/>
      <c r="AM61" s="72"/>
      <c r="AN61" s="72"/>
      <c r="AO61" s="72"/>
      <c r="AP61" s="72"/>
      <c r="AQ61" s="72"/>
      <c r="AR61" s="73"/>
      <c r="AS61" s="33"/>
      <c r="AT61" s="74"/>
      <c r="AU61" s="74"/>
      <c r="AV61" s="74"/>
      <c r="AW61" s="74"/>
      <c r="AX61" s="74"/>
      <c r="AY61" s="74"/>
      <c r="AZ61" s="74"/>
      <c r="BA61" s="74"/>
      <c r="BB61" s="34"/>
      <c r="BE61" s="31"/>
      <c r="BF61" s="33"/>
      <c r="BG61" s="33"/>
      <c r="BH61" s="33"/>
      <c r="BI61" s="75">
        <f>cfg_Green</f>
        <v>1.5</v>
      </c>
      <c r="BJ61" s="75"/>
      <c r="BK61" s="75"/>
      <c r="BL61" s="75"/>
      <c r="BM61" s="75"/>
      <c r="BN61" s="33"/>
      <c r="BO61" s="33"/>
      <c r="BP61" s="80"/>
      <c r="BQ61" s="80"/>
      <c r="BR61" s="33"/>
      <c r="BS61" s="33"/>
      <c r="BT61" s="33"/>
      <c r="BU61" s="33"/>
      <c r="BV61" s="33"/>
      <c r="BW61" s="33"/>
      <c r="BX61" s="33"/>
      <c r="BY61" s="33"/>
      <c r="BZ61" s="33"/>
      <c r="CA61" s="33"/>
      <c r="CB61" s="33"/>
      <c r="CC61" s="33"/>
      <c r="CD61" s="33"/>
      <c r="CE61" s="33"/>
      <c r="CF61" s="34"/>
    </row>
    <row r="62" spans="2:88" ht="4.5" customHeight="1">
      <c r="B62" s="20"/>
      <c r="C62" s="48"/>
      <c r="D62" s="48"/>
      <c r="E62" s="48"/>
      <c r="F62" s="48"/>
      <c r="G62" s="48"/>
      <c r="H62" s="24"/>
      <c r="J62" s="31"/>
      <c r="K62" s="67"/>
      <c r="L62" s="68"/>
      <c r="M62" s="68"/>
      <c r="N62" s="68"/>
      <c r="O62" s="68"/>
      <c r="P62" s="68"/>
      <c r="Q62" s="69"/>
      <c r="R62" s="69"/>
      <c r="S62" s="69"/>
      <c r="T62" s="69"/>
      <c r="U62" s="69"/>
      <c r="V62" s="69"/>
      <c r="W62" s="69"/>
      <c r="X62" s="69"/>
      <c r="Y62" s="70"/>
      <c r="Z62" s="70"/>
      <c r="AA62" s="70"/>
      <c r="AB62" s="70"/>
      <c r="AC62" s="70"/>
      <c r="AD62" s="71"/>
      <c r="AE62" s="71"/>
      <c r="AF62" s="71"/>
      <c r="AG62" s="71"/>
      <c r="AH62" s="71"/>
      <c r="AI62" s="71"/>
      <c r="AJ62" s="71"/>
      <c r="AK62" s="71"/>
      <c r="AL62" s="71"/>
      <c r="AM62" s="72"/>
      <c r="AN62" s="72"/>
      <c r="AO62" s="72"/>
      <c r="AP62" s="72"/>
      <c r="AQ62" s="72"/>
      <c r="AR62" s="73"/>
      <c r="AS62" s="33"/>
      <c r="AT62" s="74"/>
      <c r="AU62" s="74"/>
      <c r="AV62" s="74"/>
      <c r="AW62" s="74"/>
      <c r="AX62" s="74"/>
      <c r="AY62" s="74"/>
      <c r="AZ62" s="74"/>
      <c r="BA62" s="74"/>
      <c r="BB62" s="34"/>
      <c r="BE62" s="31"/>
      <c r="BF62" s="33"/>
      <c r="BG62" s="33"/>
      <c r="BH62" s="33"/>
      <c r="BI62" s="75"/>
      <c r="BJ62" s="75"/>
      <c r="BK62" s="75"/>
      <c r="BL62" s="75"/>
      <c r="BM62" s="75"/>
      <c r="BN62" s="33"/>
      <c r="BO62" s="33"/>
      <c r="BP62" s="80"/>
      <c r="BQ62" s="80"/>
      <c r="BR62" s="76"/>
      <c r="BS62" s="76"/>
      <c r="BT62" s="76"/>
      <c r="BU62" s="76"/>
      <c r="BV62" s="76"/>
      <c r="BW62" s="76"/>
      <c r="BX62" s="76"/>
      <c r="BY62" s="76"/>
      <c r="BZ62" s="76"/>
      <c r="CA62" s="76"/>
      <c r="CB62" s="76"/>
      <c r="CC62" s="33"/>
      <c r="CD62" s="33"/>
      <c r="CE62" s="33"/>
      <c r="CF62" s="34"/>
    </row>
    <row r="63" spans="2:88" ht="4.5" customHeight="1">
      <c r="B63" s="20"/>
      <c r="C63" s="48"/>
      <c r="D63" s="48"/>
      <c r="E63" s="48"/>
      <c r="F63" s="48"/>
      <c r="G63" s="48"/>
      <c r="H63" s="24"/>
      <c r="J63" s="31"/>
      <c r="K63" s="67"/>
      <c r="L63" s="68"/>
      <c r="M63" s="68"/>
      <c r="N63" s="68"/>
      <c r="O63" s="68"/>
      <c r="P63" s="68"/>
      <c r="Q63" s="69"/>
      <c r="R63" s="69"/>
      <c r="S63" s="69"/>
      <c r="T63" s="69"/>
      <c r="U63" s="69"/>
      <c r="V63" s="69"/>
      <c r="W63" s="69"/>
      <c r="X63" s="69"/>
      <c r="Y63" s="70"/>
      <c r="Z63" s="70"/>
      <c r="AA63" s="70"/>
      <c r="AB63" s="70"/>
      <c r="AC63" s="70"/>
      <c r="AD63" s="71"/>
      <c r="AE63" s="71"/>
      <c r="AF63" s="71"/>
      <c r="AG63" s="71"/>
      <c r="AH63" s="71"/>
      <c r="AI63" s="71"/>
      <c r="AJ63" s="71"/>
      <c r="AK63" s="71"/>
      <c r="AL63" s="71"/>
      <c r="AM63" s="72"/>
      <c r="AN63" s="72"/>
      <c r="AO63" s="72"/>
      <c r="AP63" s="72"/>
      <c r="AQ63" s="72"/>
      <c r="AR63" s="73"/>
      <c r="AS63" s="33"/>
      <c r="AT63" s="74"/>
      <c r="AU63" s="74"/>
      <c r="AV63" s="74"/>
      <c r="AW63" s="74"/>
      <c r="AX63" s="74"/>
      <c r="AY63" s="74"/>
      <c r="AZ63" s="74"/>
      <c r="BA63" s="74"/>
      <c r="BB63" s="34"/>
      <c r="BE63" s="31"/>
      <c r="BF63" s="33"/>
      <c r="BG63" s="33"/>
      <c r="BH63" s="33"/>
      <c r="BI63" s="75"/>
      <c r="BJ63" s="75"/>
      <c r="BK63" s="75"/>
      <c r="BL63" s="75"/>
      <c r="BM63" s="75"/>
      <c r="BN63" s="33"/>
      <c r="BO63" s="33"/>
      <c r="BP63" s="82"/>
      <c r="BQ63" s="82"/>
      <c r="BR63" s="33"/>
      <c r="BS63" s="33"/>
      <c r="BT63" s="33"/>
      <c r="BU63" s="33"/>
      <c r="BV63" s="33"/>
      <c r="BW63" s="33"/>
      <c r="BX63" s="33"/>
      <c r="BY63" s="33"/>
      <c r="BZ63" s="33"/>
      <c r="CA63" s="33"/>
      <c r="CB63" s="33"/>
      <c r="CC63" s="33"/>
      <c r="CD63" s="33"/>
      <c r="CE63" s="33"/>
      <c r="CF63" s="34"/>
    </row>
    <row r="64" spans="2:88" ht="1.5" customHeight="1">
      <c r="B64" s="20"/>
      <c r="C64" s="48"/>
      <c r="D64" s="48"/>
      <c r="E64" s="48"/>
      <c r="F64" s="48"/>
      <c r="G64" s="48"/>
      <c r="H64" s="24"/>
      <c r="J64" s="31"/>
      <c r="K64" s="67"/>
      <c r="L64" s="68"/>
      <c r="M64" s="68"/>
      <c r="N64" s="68"/>
      <c r="O64" s="68"/>
      <c r="P64" s="68"/>
      <c r="Q64" s="69"/>
      <c r="R64" s="69"/>
      <c r="S64" s="69"/>
      <c r="T64" s="69"/>
      <c r="U64" s="69"/>
      <c r="V64" s="69"/>
      <c r="W64" s="69"/>
      <c r="X64" s="69"/>
      <c r="Y64" s="70"/>
      <c r="Z64" s="70"/>
      <c r="AA64" s="70"/>
      <c r="AB64" s="70"/>
      <c r="AC64" s="70"/>
      <c r="AD64" s="71"/>
      <c r="AE64" s="71"/>
      <c r="AF64" s="71"/>
      <c r="AG64" s="71"/>
      <c r="AH64" s="71"/>
      <c r="AI64" s="71"/>
      <c r="AJ64" s="71"/>
      <c r="AK64" s="71"/>
      <c r="AL64" s="71"/>
      <c r="AM64" s="72"/>
      <c r="AN64" s="72"/>
      <c r="AO64" s="72"/>
      <c r="AP64" s="72"/>
      <c r="AQ64" s="72"/>
      <c r="AR64" s="73"/>
      <c r="AS64" s="76"/>
      <c r="AT64" s="74"/>
      <c r="AU64" s="74"/>
      <c r="AV64" s="74"/>
      <c r="AW64" s="74"/>
      <c r="AX64" s="74"/>
      <c r="AY64" s="74"/>
      <c r="AZ64" s="74"/>
      <c r="BA64" s="74"/>
      <c r="BB64" s="34"/>
      <c r="BE64" s="31"/>
      <c r="BF64" s="33"/>
      <c r="BG64" s="33"/>
      <c r="BH64" s="33"/>
      <c r="BI64" s="75"/>
      <c r="BJ64" s="75"/>
      <c r="BK64" s="75"/>
      <c r="BL64" s="75"/>
      <c r="BM64" s="75"/>
      <c r="BN64" s="33"/>
      <c r="BO64" s="33"/>
      <c r="BP64" s="82"/>
      <c r="BQ64" s="82"/>
      <c r="BR64" s="33"/>
      <c r="BS64" s="33"/>
      <c r="BT64" s="83" t="str">
        <f>c_ZoneG</f>
        <v>0 – 1,5 ppm</v>
      </c>
      <c r="BU64" s="83"/>
      <c r="BV64" s="83"/>
      <c r="BW64" s="83"/>
      <c r="BX64" s="83"/>
      <c r="BY64" s="83"/>
      <c r="BZ64" s="83"/>
      <c r="CA64" s="83"/>
      <c r="CB64" s="83"/>
      <c r="CC64" s="33"/>
      <c r="CD64" s="33"/>
      <c r="CE64" s="33"/>
      <c r="CF64" s="34"/>
    </row>
    <row r="65" spans="2:88" ht="13.5" customHeight="1">
      <c r="B65" s="20"/>
      <c r="C65" s="48"/>
      <c r="D65" s="48"/>
      <c r="E65" s="48"/>
      <c r="F65" s="48"/>
      <c r="G65" s="48"/>
      <c r="H65" s="24"/>
      <c r="J65" s="31"/>
      <c r="K65" s="67" t="str">
        <f>IF('Расчет'!$C$98="","",7)</f>
        <v/>
      </c>
      <c r="L65" s="68" t="str">
        <f>'Расчет'!$C$98</f>
        <v/>
      </c>
      <c r="M65" s="68"/>
      <c r="N65" s="68"/>
      <c r="O65" s="68"/>
      <c r="P65" s="68"/>
      <c r="Q65" s="69" t="str">
        <f>IF('Расчет'!$C$98="","",IF('Расчет'!$D$98="","—",'Расчет'!$D$98))</f>
        <v/>
      </c>
      <c r="R65" s="69"/>
      <c r="S65" s="69"/>
      <c r="T65" s="69"/>
      <c r="U65" s="69"/>
      <c r="V65" s="69"/>
      <c r="W65" s="69"/>
      <c r="X65" s="69"/>
      <c r="Y65" s="70" t="str">
        <f>IF('Расчет'!$C$98="","",CHOOSE('Расчет'!$E$98+1,"●  НЕТ ДАННЫХ","●  НОРМА","●  ВНИМАНИЕ","●  РИСК","●  ПРЕВЫШЕНИЕ"))</f>
        <v/>
      </c>
      <c r="Z65" s="70"/>
      <c r="AA65" s="70"/>
      <c r="AB65" s="70"/>
      <c r="AC65" s="70"/>
      <c r="AD65" s="71" t="str">
        <f>IF('Расчет'!$C$98="","",CHOOSE('Расчет'!$E$98+1,"—",c_ZoneG,c_ZoneY,c_ZoneR,c_ZoneX))</f>
        <v/>
      </c>
      <c r="AE65" s="71"/>
      <c r="AF65" s="71"/>
      <c r="AG65" s="71"/>
      <c r="AH65" s="71"/>
      <c r="AI65" s="71"/>
      <c r="AJ65" s="71"/>
      <c r="AK65" s="71"/>
      <c r="AL65" s="71"/>
      <c r="AM65" s="72" t="str">
        <f>IF(OR('Расчет'!$C$98="",'Расчет'!$F$98=""),"",'Расчет'!$F$98)</f>
        <v/>
      </c>
      <c r="AN65" s="72"/>
      <c r="AO65" s="72"/>
      <c r="AP65" s="72"/>
      <c r="AQ65" s="72"/>
      <c r="AR65" s="73" t="str">
        <f>IF(OR('Расчет'!$C$98="",'Расчет'!$F$98=""),"",IF('Расчет'!$F$98&gt;0.00001,"↑",IF('Расчет'!$F$98&lt;-0.00001,"↓","—")))</f>
        <v/>
      </c>
      <c r="AS65" s="33"/>
      <c r="AT65" s="74"/>
      <c r="AU65" s="74"/>
      <c r="AV65" s="74"/>
      <c r="AW65" s="74"/>
      <c r="AX65" s="74"/>
      <c r="AY65" s="74"/>
      <c r="AZ65" s="74"/>
      <c r="BA65" s="74"/>
      <c r="BB65" s="34"/>
      <c r="BE65" s="31"/>
      <c r="BF65" s="33"/>
      <c r="BG65" s="33"/>
      <c r="BH65" s="33"/>
      <c r="BI65" s="33"/>
      <c r="BJ65" s="33"/>
      <c r="BK65" s="33"/>
      <c r="BL65" s="33"/>
      <c r="BM65" s="33"/>
      <c r="BN65" s="33"/>
      <c r="BO65" s="33"/>
      <c r="BP65" s="82"/>
      <c r="BQ65" s="82"/>
      <c r="BR65" s="33"/>
      <c r="BS65" s="33"/>
      <c r="BT65" s="83"/>
      <c r="BU65" s="83"/>
      <c r="BV65" s="83"/>
      <c r="BW65" s="83"/>
      <c r="BX65" s="83"/>
      <c r="BY65" s="83"/>
      <c r="BZ65" s="83"/>
      <c r="CA65" s="83"/>
      <c r="CB65" s="83"/>
      <c r="CC65" s="33"/>
      <c r="CD65" s="33"/>
      <c r="CE65" s="33"/>
      <c r="CF65" s="34"/>
      <c r="CI65">
        <f>'Расчет'!$E$98</f>
        <v>-1.0</v>
      </c>
      <c r="CJ65">
        <f>'Расчет'!$G$98</f>
        <v>0.0</v>
      </c>
    </row>
    <row r="66" spans="2:88" ht="6" customHeight="1">
      <c r="B66" s="20"/>
      <c r="C66" s="48"/>
      <c r="D66" s="48"/>
      <c r="E66" s="48"/>
      <c r="F66" s="48"/>
      <c r="G66" s="48"/>
      <c r="H66" s="24"/>
      <c r="J66" s="31"/>
      <c r="K66" s="67"/>
      <c r="L66" s="68"/>
      <c r="M66" s="68"/>
      <c r="N66" s="68"/>
      <c r="O66" s="68"/>
      <c r="P66" s="68"/>
      <c r="Q66" s="69"/>
      <c r="R66" s="69"/>
      <c r="S66" s="69"/>
      <c r="T66" s="69"/>
      <c r="U66" s="69"/>
      <c r="V66" s="69"/>
      <c r="W66" s="69"/>
      <c r="X66" s="69"/>
      <c r="Y66" s="70"/>
      <c r="Z66" s="70"/>
      <c r="AA66" s="70"/>
      <c r="AB66" s="70"/>
      <c r="AC66" s="70"/>
      <c r="AD66" s="71"/>
      <c r="AE66" s="71"/>
      <c r="AF66" s="71"/>
      <c r="AG66" s="71"/>
      <c r="AH66" s="71"/>
      <c r="AI66" s="71"/>
      <c r="AJ66" s="71"/>
      <c r="AK66" s="71"/>
      <c r="AL66" s="71"/>
      <c r="AM66" s="72"/>
      <c r="AN66" s="72"/>
      <c r="AO66" s="72"/>
      <c r="AP66" s="72"/>
      <c r="AQ66" s="72"/>
      <c r="AR66" s="73"/>
      <c r="AS66" s="76"/>
      <c r="AT66" s="74"/>
      <c r="AU66" s="74"/>
      <c r="AV66" s="74"/>
      <c r="AW66" s="74"/>
      <c r="AX66" s="74"/>
      <c r="AY66" s="74"/>
      <c r="AZ66" s="74"/>
      <c r="BA66" s="74"/>
      <c r="BB66" s="34"/>
      <c r="BE66" s="31"/>
      <c r="BF66" s="33"/>
      <c r="BG66" s="33"/>
      <c r="BH66" s="33"/>
      <c r="BI66" s="33"/>
      <c r="BJ66" s="33"/>
      <c r="BK66" s="33"/>
      <c r="BL66" s="33"/>
      <c r="BM66" s="33"/>
      <c r="BN66" s="33"/>
      <c r="BO66" s="33"/>
      <c r="BP66" s="82"/>
      <c r="BQ66" s="82"/>
      <c r="BR66" s="33"/>
      <c r="BS66" s="33"/>
      <c r="BT66" s="41" t="s">
        <v>82</v>
      </c>
      <c r="BU66" s="41"/>
      <c r="BV66" s="41"/>
      <c r="BW66" s="41"/>
      <c r="BX66" s="41"/>
      <c r="BY66" s="41"/>
      <c r="BZ66" s="41"/>
      <c r="CA66" s="41"/>
      <c r="CB66" s="41"/>
      <c r="CC66" s="33"/>
      <c r="CD66" s="33"/>
      <c r="CE66" s="33"/>
      <c r="CF66" s="34"/>
    </row>
    <row r="67" spans="2:88" ht="7.5" customHeight="1">
      <c r="B67" s="20"/>
      <c r="C67" s="48"/>
      <c r="D67" s="48"/>
      <c r="E67" s="48"/>
      <c r="F67" s="48"/>
      <c r="G67" s="48"/>
      <c r="H67" s="24"/>
      <c r="J67" s="31"/>
      <c r="K67" s="67" t="str">
        <f>IF('Расчет'!$C$99="","",8)</f>
        <v/>
      </c>
      <c r="L67" s="68" t="str">
        <f>'Расчет'!$C$99</f>
        <v/>
      </c>
      <c r="M67" s="68"/>
      <c r="N67" s="68"/>
      <c r="O67" s="68"/>
      <c r="P67" s="68"/>
      <c r="Q67" s="69" t="str">
        <f>IF('Расчет'!$C$99="","",IF('Расчет'!$D$99="","—",'Расчет'!$D$99))</f>
        <v/>
      </c>
      <c r="R67" s="69"/>
      <c r="S67" s="69"/>
      <c r="T67" s="69"/>
      <c r="U67" s="69"/>
      <c r="V67" s="69"/>
      <c r="W67" s="69"/>
      <c r="X67" s="69"/>
      <c r="Y67" s="70" t="str">
        <f>IF('Расчет'!$C$99="","",CHOOSE('Расчет'!$E$99+1,"●  НЕТ ДАННЫХ","●  НОРМА","●  ВНИМАНИЕ","●  РИСК","●  ПРЕВЫШЕНИЕ"))</f>
        <v/>
      </c>
      <c r="Z67" s="70"/>
      <c r="AA67" s="70"/>
      <c r="AB67" s="70"/>
      <c r="AC67" s="70"/>
      <c r="AD67" s="71" t="str">
        <f>IF('Расчет'!$C$99="","",CHOOSE('Расчет'!$E$99+1,"—",c_ZoneG,c_ZoneY,c_ZoneR,c_ZoneX))</f>
        <v/>
      </c>
      <c r="AE67" s="71"/>
      <c r="AF67" s="71"/>
      <c r="AG67" s="71"/>
      <c r="AH67" s="71"/>
      <c r="AI67" s="71"/>
      <c r="AJ67" s="71"/>
      <c r="AK67" s="71"/>
      <c r="AL67" s="71"/>
      <c r="AM67" s="72" t="str">
        <f>IF(OR('Расчет'!$C$99="",'Расчет'!$F$99=""),"",'Расчет'!$F$99)</f>
        <v/>
      </c>
      <c r="AN67" s="72"/>
      <c r="AO67" s="72"/>
      <c r="AP67" s="72"/>
      <c r="AQ67" s="72"/>
      <c r="AR67" s="73" t="str">
        <f>IF(OR('Расчет'!$C$99="",'Расчет'!$F$99=""),"",IF('Расчет'!$F$99&gt;0.00001,"↑",IF('Расчет'!$F$99&lt;-0.00001,"↓","—")))</f>
        <v/>
      </c>
      <c r="AS67" s="33"/>
      <c r="AT67" s="74"/>
      <c r="AU67" s="74"/>
      <c r="AV67" s="74"/>
      <c r="AW67" s="74"/>
      <c r="AX67" s="74"/>
      <c r="AY67" s="74"/>
      <c r="AZ67" s="74"/>
      <c r="BA67" s="74"/>
      <c r="BB67" s="34"/>
      <c r="BE67" s="31"/>
      <c r="BF67" s="33"/>
      <c r="BG67" s="33"/>
      <c r="BH67" s="33"/>
      <c r="BI67" s="33"/>
      <c r="BJ67" s="33"/>
      <c r="BK67" s="33"/>
      <c r="BL67" s="33"/>
      <c r="BM67" s="33"/>
      <c r="BN67" s="33"/>
      <c r="BO67" s="33"/>
      <c r="BP67" s="82"/>
      <c r="BQ67" s="82"/>
      <c r="BR67" s="33"/>
      <c r="BS67" s="33"/>
      <c r="BT67" s="41"/>
      <c r="BU67" s="41"/>
      <c r="BV67" s="41"/>
      <c r="BW67" s="41"/>
      <c r="BX67" s="41"/>
      <c r="BY67" s="41"/>
      <c r="BZ67" s="41"/>
      <c r="CA67" s="41"/>
      <c r="CB67" s="41"/>
      <c r="CC67" s="33"/>
      <c r="CD67" s="33"/>
      <c r="CE67" s="33"/>
      <c r="CF67" s="34"/>
      <c r="CI67">
        <f>'Расчет'!$E$99</f>
        <v>-1.0</v>
      </c>
      <c r="CJ67">
        <f>'Расчет'!$G$99</f>
        <v>0.0</v>
      </c>
    </row>
    <row r="68" spans="2:88" ht="3" customHeight="1">
      <c r="B68" s="20"/>
      <c r="C68" s="48"/>
      <c r="D68" s="48"/>
      <c r="E68" s="48"/>
      <c r="F68" s="48"/>
      <c r="G68" s="48"/>
      <c r="H68" s="24"/>
      <c r="J68" s="31"/>
      <c r="K68" s="67"/>
      <c r="L68" s="68"/>
      <c r="M68" s="68"/>
      <c r="N68" s="68"/>
      <c r="O68" s="68"/>
      <c r="P68" s="68"/>
      <c r="Q68" s="69"/>
      <c r="R68" s="69"/>
      <c r="S68" s="69"/>
      <c r="T68" s="69"/>
      <c r="U68" s="69"/>
      <c r="V68" s="69"/>
      <c r="W68" s="69"/>
      <c r="X68" s="69"/>
      <c r="Y68" s="70"/>
      <c r="Z68" s="70"/>
      <c r="AA68" s="70"/>
      <c r="AB68" s="70"/>
      <c r="AC68" s="70"/>
      <c r="AD68" s="71"/>
      <c r="AE68" s="71"/>
      <c r="AF68" s="71"/>
      <c r="AG68" s="71"/>
      <c r="AH68" s="71"/>
      <c r="AI68" s="71"/>
      <c r="AJ68" s="71"/>
      <c r="AK68" s="71"/>
      <c r="AL68" s="71"/>
      <c r="AM68" s="72"/>
      <c r="AN68" s="72"/>
      <c r="AO68" s="72"/>
      <c r="AP68" s="72"/>
      <c r="AQ68" s="72"/>
      <c r="AR68" s="73"/>
      <c r="AS68" s="33"/>
      <c r="AT68" s="74"/>
      <c r="AU68" s="74"/>
      <c r="AV68" s="74"/>
      <c r="AW68" s="74"/>
      <c r="AX68" s="74"/>
      <c r="AY68" s="74"/>
      <c r="AZ68" s="74"/>
      <c r="BA68" s="74"/>
      <c r="BB68" s="34"/>
      <c r="BE68" s="31"/>
      <c r="BF68" s="33"/>
      <c r="BG68" s="33"/>
      <c r="BH68" s="33"/>
      <c r="BI68" s="33"/>
      <c r="BJ68" s="33"/>
      <c r="BK68" s="33"/>
      <c r="BL68" s="33"/>
      <c r="BM68" s="33"/>
      <c r="BN68" s="33"/>
      <c r="BO68" s="33"/>
      <c r="BP68" s="82"/>
      <c r="BQ68" s="82"/>
      <c r="BR68" s="33"/>
      <c r="BS68" s="33"/>
      <c r="BT68" s="79" t="s">
        <v>95</v>
      </c>
      <c r="BU68" s="79"/>
      <c r="BV68" s="79"/>
      <c r="BW68" s="79"/>
      <c r="BX68" s="79"/>
      <c r="BY68" s="79"/>
      <c r="BZ68" s="79"/>
      <c r="CA68" s="79"/>
      <c r="CB68" s="79"/>
      <c r="CC68" s="33"/>
      <c r="CD68" s="33"/>
      <c r="CE68" s="33"/>
      <c r="CF68" s="34"/>
    </row>
    <row r="69" spans="2:88" ht="9" customHeight="1">
      <c r="B69" s="20"/>
      <c r="C69" s="59" t="s">
        <v>71</v>
      </c>
      <c r="D69" s="59"/>
      <c r="E69" s="59"/>
      <c r="F69" s="59"/>
      <c r="G69" s="59"/>
      <c r="H69" s="24"/>
      <c r="J69" s="31"/>
      <c r="K69" s="67"/>
      <c r="L69" s="68"/>
      <c r="M69" s="68"/>
      <c r="N69" s="68"/>
      <c r="O69" s="68"/>
      <c r="P69" s="68"/>
      <c r="Q69" s="69"/>
      <c r="R69" s="69"/>
      <c r="S69" s="69"/>
      <c r="T69" s="69"/>
      <c r="U69" s="69"/>
      <c r="V69" s="69"/>
      <c r="W69" s="69"/>
      <c r="X69" s="69"/>
      <c r="Y69" s="70"/>
      <c r="Z69" s="70"/>
      <c r="AA69" s="70"/>
      <c r="AB69" s="70"/>
      <c r="AC69" s="70"/>
      <c r="AD69" s="71"/>
      <c r="AE69" s="71"/>
      <c r="AF69" s="71"/>
      <c r="AG69" s="71"/>
      <c r="AH69" s="71"/>
      <c r="AI69" s="71"/>
      <c r="AJ69" s="71"/>
      <c r="AK69" s="71"/>
      <c r="AL69" s="71"/>
      <c r="AM69" s="72"/>
      <c r="AN69" s="72"/>
      <c r="AO69" s="72"/>
      <c r="AP69" s="72"/>
      <c r="AQ69" s="72"/>
      <c r="AR69" s="73"/>
      <c r="AS69" s="76"/>
      <c r="AT69" s="74"/>
      <c r="AU69" s="74"/>
      <c r="AV69" s="74"/>
      <c r="AW69" s="74"/>
      <c r="AX69" s="74"/>
      <c r="AY69" s="74"/>
      <c r="AZ69" s="74"/>
      <c r="BA69" s="74"/>
      <c r="BB69" s="34"/>
      <c r="BE69" s="31"/>
      <c r="BF69" s="33"/>
      <c r="BG69" s="33"/>
      <c r="BH69" s="33"/>
      <c r="BI69" s="33"/>
      <c r="BJ69" s="33"/>
      <c r="BK69" s="33"/>
      <c r="BL69" s="33"/>
      <c r="BM69" s="33"/>
      <c r="BN69" s="33"/>
      <c r="BO69" s="33"/>
      <c r="BP69" s="82"/>
      <c r="BQ69" s="82"/>
      <c r="BR69" s="33"/>
      <c r="BS69" s="33"/>
      <c r="BT69" s="79"/>
      <c r="BU69" s="79"/>
      <c r="BV69" s="79"/>
      <c r="BW69" s="79"/>
      <c r="BX69" s="79"/>
      <c r="BY69" s="79"/>
      <c r="BZ69" s="79"/>
      <c r="CA69" s="79"/>
      <c r="CB69" s="79"/>
      <c r="CC69" s="33"/>
      <c r="CD69" s="33"/>
      <c r="CE69" s="33"/>
      <c r="CF69" s="34"/>
    </row>
    <row r="70" spans="2:88" ht="1.5" customHeight="1">
      <c r="B70" s="20"/>
      <c r="C70" s="59"/>
      <c r="D70" s="59"/>
      <c r="E70" s="59"/>
      <c r="F70" s="59"/>
      <c r="G70" s="59"/>
      <c r="H70" s="24"/>
      <c r="J70" s="31"/>
      <c r="K70" s="67" t="str">
        <f>IF('Расчет'!$C$100="","",9)</f>
        <v/>
      </c>
      <c r="L70" s="68" t="str">
        <f>'Расчет'!$C$100</f>
        <v/>
      </c>
      <c r="M70" s="68"/>
      <c r="N70" s="68"/>
      <c r="O70" s="68"/>
      <c r="P70" s="68"/>
      <c r="Q70" s="69" t="str">
        <f>IF('Расчет'!$C$100="","",IF('Расчет'!$D$100="","—",'Расчет'!$D$100))</f>
        <v/>
      </c>
      <c r="R70" s="69"/>
      <c r="S70" s="69"/>
      <c r="T70" s="69"/>
      <c r="U70" s="69"/>
      <c r="V70" s="69"/>
      <c r="W70" s="69"/>
      <c r="X70" s="69"/>
      <c r="Y70" s="70" t="str">
        <f>IF('Расчет'!$C$100="","",CHOOSE('Расчет'!$E$100+1,"●  НЕТ ДАННЫХ","●  НОРМА","●  ВНИМАНИЕ","●  РИСК","●  ПРЕВЫШЕНИЕ"))</f>
        <v/>
      </c>
      <c r="Z70" s="70"/>
      <c r="AA70" s="70"/>
      <c r="AB70" s="70"/>
      <c r="AC70" s="70"/>
      <c r="AD70" s="71" t="str">
        <f>IF('Расчет'!$C$100="","",CHOOSE('Расчет'!$E$100+1,"—",c_ZoneG,c_ZoneY,c_ZoneR,c_ZoneX))</f>
        <v/>
      </c>
      <c r="AE70" s="71"/>
      <c r="AF70" s="71"/>
      <c r="AG70" s="71"/>
      <c r="AH70" s="71"/>
      <c r="AI70" s="71"/>
      <c r="AJ70" s="71"/>
      <c r="AK70" s="71"/>
      <c r="AL70" s="71"/>
      <c r="AM70" s="72" t="str">
        <f>IF(OR('Расчет'!$C$100="",'Расчет'!$F$100=""),"",'Расчет'!$F$100)</f>
        <v/>
      </c>
      <c r="AN70" s="72"/>
      <c r="AO70" s="72"/>
      <c r="AP70" s="72"/>
      <c r="AQ70" s="72"/>
      <c r="AR70" s="73" t="str">
        <f>IF(OR('Расчет'!$C$100="",'Расчет'!$F$100=""),"",IF('Расчет'!$F$100&gt;0.00001,"↑",IF('Расчет'!$F$100&lt;-0.00001,"↓","—")))</f>
        <v/>
      </c>
      <c r="AS70" s="33"/>
      <c r="AT70" s="74"/>
      <c r="AU70" s="74"/>
      <c r="AV70" s="74"/>
      <c r="AW70" s="74"/>
      <c r="AX70" s="74"/>
      <c r="AY70" s="74"/>
      <c r="AZ70" s="74"/>
      <c r="BA70" s="74"/>
      <c r="BB70" s="34"/>
      <c r="BE70" s="31"/>
      <c r="BF70" s="33"/>
      <c r="BG70" s="33"/>
      <c r="BH70" s="33"/>
      <c r="BI70" s="33"/>
      <c r="BJ70" s="33"/>
      <c r="BK70" s="33"/>
      <c r="BL70" s="33"/>
      <c r="BM70" s="33"/>
      <c r="BN70" s="33"/>
      <c r="BO70" s="33"/>
      <c r="BP70" s="82"/>
      <c r="BQ70" s="82"/>
      <c r="BR70" s="33"/>
      <c r="BS70" s="33"/>
      <c r="BT70" s="79"/>
      <c r="BU70" s="79"/>
      <c r="BV70" s="79"/>
      <c r="BW70" s="79"/>
      <c r="BX70" s="79"/>
      <c r="BY70" s="79"/>
      <c r="BZ70" s="79"/>
      <c r="CA70" s="79"/>
      <c r="CB70" s="79"/>
      <c r="CC70" s="33"/>
      <c r="CD70" s="33"/>
      <c r="CE70" s="33"/>
      <c r="CF70" s="34"/>
      <c r="CI70">
        <f>'Расчет'!$E$100</f>
        <v>-1.0</v>
      </c>
      <c r="CJ70">
        <f>'Расчет'!$G$100</f>
        <v>0.0</v>
      </c>
    </row>
    <row r="71" spans="2:88" ht="6" customHeight="1">
      <c r="B71" s="20"/>
      <c r="C71" s="59"/>
      <c r="D71" s="59"/>
      <c r="E71" s="59"/>
      <c r="F71" s="59"/>
      <c r="G71" s="59"/>
      <c r="H71" s="24"/>
      <c r="J71" s="31"/>
      <c r="K71" s="67"/>
      <c r="L71" s="68"/>
      <c r="M71" s="68"/>
      <c r="N71" s="68"/>
      <c r="O71" s="68"/>
      <c r="P71" s="68"/>
      <c r="Q71" s="69"/>
      <c r="R71" s="69"/>
      <c r="S71" s="69"/>
      <c r="T71" s="69"/>
      <c r="U71" s="69"/>
      <c r="V71" s="69"/>
      <c r="W71" s="69"/>
      <c r="X71" s="69"/>
      <c r="Y71" s="70"/>
      <c r="Z71" s="70"/>
      <c r="AA71" s="70"/>
      <c r="AB71" s="70"/>
      <c r="AC71" s="70"/>
      <c r="AD71" s="71"/>
      <c r="AE71" s="71"/>
      <c r="AF71" s="71"/>
      <c r="AG71" s="71"/>
      <c r="AH71" s="71"/>
      <c r="AI71" s="71"/>
      <c r="AJ71" s="71"/>
      <c r="AK71" s="71"/>
      <c r="AL71" s="71"/>
      <c r="AM71" s="72"/>
      <c r="AN71" s="72"/>
      <c r="AO71" s="72"/>
      <c r="AP71" s="72"/>
      <c r="AQ71" s="72"/>
      <c r="AR71" s="73"/>
      <c r="AS71" s="33"/>
      <c r="AT71" s="74"/>
      <c r="AU71" s="74"/>
      <c r="AV71" s="74"/>
      <c r="AW71" s="74"/>
      <c r="AX71" s="74"/>
      <c r="AY71" s="74"/>
      <c r="AZ71" s="74"/>
      <c r="BA71" s="74"/>
      <c r="BB71" s="34"/>
      <c r="BE71" s="31"/>
      <c r="BF71" s="33"/>
      <c r="BG71" s="33"/>
      <c r="BH71" s="33"/>
      <c r="BI71" s="84">
        <v>0</v>
      </c>
      <c r="BJ71" s="84"/>
      <c r="BK71" s="84"/>
      <c r="BL71" s="84"/>
      <c r="BM71" s="84"/>
      <c r="BN71" s="33"/>
      <c r="BO71" s="33"/>
      <c r="BP71" s="82"/>
      <c r="BQ71" s="82"/>
      <c r="BR71" s="76"/>
      <c r="BS71" s="76"/>
      <c r="BT71" s="76"/>
      <c r="BU71" s="76"/>
      <c r="BV71" s="76"/>
      <c r="BW71" s="76"/>
      <c r="BX71" s="76"/>
      <c r="BY71" s="76"/>
      <c r="BZ71" s="76"/>
      <c r="CA71" s="76"/>
      <c r="CB71" s="76"/>
      <c r="CC71" s="33"/>
      <c r="CD71" s="33"/>
      <c r="CE71" s="33"/>
      <c r="CF71" s="34"/>
    </row>
    <row r="72" spans="2:88" ht="1.5" customHeight="1">
      <c r="B72" s="20"/>
      <c r="C72" s="59"/>
      <c r="D72" s="59"/>
      <c r="E72" s="59"/>
      <c r="F72" s="59"/>
      <c r="G72" s="59"/>
      <c r="H72" s="24"/>
      <c r="J72" s="31"/>
      <c r="K72" s="67"/>
      <c r="L72" s="68"/>
      <c r="M72" s="68"/>
      <c r="N72" s="68"/>
      <c r="O72" s="68"/>
      <c r="P72" s="68"/>
      <c r="Q72" s="69"/>
      <c r="R72" s="69"/>
      <c r="S72" s="69"/>
      <c r="T72" s="69"/>
      <c r="U72" s="69"/>
      <c r="V72" s="69"/>
      <c r="W72" s="69"/>
      <c r="X72" s="69"/>
      <c r="Y72" s="70"/>
      <c r="Z72" s="70"/>
      <c r="AA72" s="70"/>
      <c r="AB72" s="70"/>
      <c r="AC72" s="70"/>
      <c r="AD72" s="71"/>
      <c r="AE72" s="71"/>
      <c r="AF72" s="71"/>
      <c r="AG72" s="71"/>
      <c r="AH72" s="71"/>
      <c r="AI72" s="71"/>
      <c r="AJ72" s="71"/>
      <c r="AK72" s="71"/>
      <c r="AL72" s="71"/>
      <c r="AM72" s="72"/>
      <c r="AN72" s="72"/>
      <c r="AO72" s="72"/>
      <c r="AP72" s="72"/>
      <c r="AQ72" s="72"/>
      <c r="AR72" s="73"/>
      <c r="AS72" s="33"/>
      <c r="AT72" s="74"/>
      <c r="AU72" s="74"/>
      <c r="AV72" s="74"/>
      <c r="AW72" s="74"/>
      <c r="AX72" s="74"/>
      <c r="AY72" s="74"/>
      <c r="AZ72" s="74"/>
      <c r="BA72" s="74"/>
      <c r="BB72" s="34"/>
      <c r="BE72" s="31"/>
      <c r="BF72" s="33"/>
      <c r="BG72" s="33"/>
      <c r="BH72" s="33"/>
      <c r="BI72" s="84"/>
      <c r="BJ72" s="84"/>
      <c r="BK72" s="84"/>
      <c r="BL72" s="84"/>
      <c r="BM72" s="84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3"/>
      <c r="BZ72" s="33"/>
      <c r="CA72" s="33"/>
      <c r="CB72" s="33"/>
      <c r="CC72" s="33"/>
      <c r="CD72" s="33"/>
      <c r="CE72" s="33"/>
      <c r="CF72" s="34"/>
    </row>
    <row r="73" spans="2:88" ht="4.5" customHeight="1">
      <c r="B73" s="20"/>
      <c r="C73" s="48"/>
      <c r="D73" s="48"/>
      <c r="E73" s="48"/>
      <c r="F73" s="48"/>
      <c r="G73" s="48"/>
      <c r="H73" s="24"/>
      <c r="J73" s="31"/>
      <c r="K73" s="67"/>
      <c r="L73" s="68"/>
      <c r="M73" s="68"/>
      <c r="N73" s="68"/>
      <c r="O73" s="68"/>
      <c r="P73" s="68"/>
      <c r="Q73" s="69"/>
      <c r="R73" s="69"/>
      <c r="S73" s="69"/>
      <c r="T73" s="69"/>
      <c r="U73" s="69"/>
      <c r="V73" s="69"/>
      <c r="W73" s="69"/>
      <c r="X73" s="69"/>
      <c r="Y73" s="70"/>
      <c r="Z73" s="70"/>
      <c r="AA73" s="70"/>
      <c r="AB73" s="70"/>
      <c r="AC73" s="70"/>
      <c r="AD73" s="71"/>
      <c r="AE73" s="71"/>
      <c r="AF73" s="71"/>
      <c r="AG73" s="71"/>
      <c r="AH73" s="71"/>
      <c r="AI73" s="71"/>
      <c r="AJ73" s="71"/>
      <c r="AK73" s="71"/>
      <c r="AL73" s="71"/>
      <c r="AM73" s="72"/>
      <c r="AN73" s="72"/>
      <c r="AO73" s="72"/>
      <c r="AP73" s="72"/>
      <c r="AQ73" s="72"/>
      <c r="AR73" s="73"/>
      <c r="AS73" s="33"/>
      <c r="AT73" s="74"/>
      <c r="AU73" s="74"/>
      <c r="AV73" s="74"/>
      <c r="AW73" s="74"/>
      <c r="AX73" s="74"/>
      <c r="AY73" s="74"/>
      <c r="AZ73" s="74"/>
      <c r="BA73" s="74"/>
      <c r="BB73" s="34"/>
      <c r="BE73" s="31"/>
      <c r="BF73" s="33"/>
      <c r="BG73" s="33"/>
      <c r="BH73" s="33"/>
      <c r="BI73" s="84"/>
      <c r="BJ73" s="84"/>
      <c r="BK73" s="84"/>
      <c r="BL73" s="84"/>
      <c r="BM73" s="84"/>
      <c r="BN73" s="33"/>
      <c r="BO73" s="33"/>
      <c r="BP73" s="33"/>
      <c r="BQ73" s="33"/>
      <c r="BR73" s="33"/>
      <c r="BS73" s="33"/>
      <c r="BT73" s="33"/>
      <c r="BU73" s="33"/>
      <c r="BV73" s="33"/>
      <c r="BW73" s="33"/>
      <c r="BX73" s="33"/>
      <c r="BY73" s="33"/>
      <c r="BZ73" s="33"/>
      <c r="CA73" s="33"/>
      <c r="CB73" s="33"/>
      <c r="CC73" s="33"/>
      <c r="CD73" s="33"/>
      <c r="CE73" s="33"/>
      <c r="CF73" s="34"/>
    </row>
    <row r="74" spans="2:88" ht="0.75" customHeight="1">
      <c r="B74" s="20"/>
      <c r="C74" s="48"/>
      <c r="D74" s="48"/>
      <c r="E74" s="48"/>
      <c r="F74" s="48"/>
      <c r="G74" s="48"/>
      <c r="H74" s="24"/>
      <c r="J74" s="31"/>
      <c r="K74" s="67"/>
      <c r="L74" s="68"/>
      <c r="M74" s="68"/>
      <c r="N74" s="68"/>
      <c r="O74" s="68"/>
      <c r="P74" s="68"/>
      <c r="Q74" s="69"/>
      <c r="R74" s="69"/>
      <c r="S74" s="69"/>
      <c r="T74" s="69"/>
      <c r="U74" s="69"/>
      <c r="V74" s="69"/>
      <c r="W74" s="69"/>
      <c r="X74" s="69"/>
      <c r="Y74" s="70"/>
      <c r="Z74" s="70"/>
      <c r="AA74" s="70"/>
      <c r="AB74" s="70"/>
      <c r="AC74" s="70"/>
      <c r="AD74" s="71"/>
      <c r="AE74" s="71"/>
      <c r="AF74" s="71"/>
      <c r="AG74" s="71"/>
      <c r="AH74" s="71"/>
      <c r="AI74" s="71"/>
      <c r="AJ74" s="71"/>
      <c r="AK74" s="71"/>
      <c r="AL74" s="71"/>
      <c r="AM74" s="72"/>
      <c r="AN74" s="72"/>
      <c r="AO74" s="72"/>
      <c r="AP74" s="72"/>
      <c r="AQ74" s="72"/>
      <c r="AR74" s="73"/>
      <c r="AS74" s="33"/>
      <c r="AT74" s="74"/>
      <c r="AU74" s="74"/>
      <c r="AV74" s="74"/>
      <c r="AW74" s="74"/>
      <c r="AX74" s="74"/>
      <c r="AY74" s="74"/>
      <c r="AZ74" s="74"/>
      <c r="BA74" s="74"/>
      <c r="BB74" s="34"/>
      <c r="BE74" s="31"/>
      <c r="BF74" s="33"/>
      <c r="BG74" s="33"/>
      <c r="BH74" s="33"/>
      <c r="BI74" s="33"/>
      <c r="BJ74" s="33"/>
      <c r="BK74" s="33"/>
      <c r="BL74" s="33"/>
      <c r="BM74" s="33"/>
      <c r="BN74" s="33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3"/>
      <c r="CA74" s="33"/>
      <c r="CB74" s="33"/>
      <c r="CC74" s="33"/>
      <c r="CD74" s="33"/>
      <c r="CE74" s="33"/>
      <c r="CF74" s="34"/>
    </row>
    <row r="75" spans="2:88" ht="3.75" customHeight="1">
      <c r="B75" s="20"/>
      <c r="C75" s="48"/>
      <c r="D75" s="49"/>
      <c r="E75" s="49"/>
      <c r="F75" s="49"/>
      <c r="G75" s="48"/>
      <c r="H75" s="24"/>
      <c r="J75" s="31"/>
      <c r="K75" s="67"/>
      <c r="L75" s="68"/>
      <c r="M75" s="68"/>
      <c r="N75" s="68"/>
      <c r="O75" s="68"/>
      <c r="P75" s="68"/>
      <c r="Q75" s="69"/>
      <c r="R75" s="69"/>
      <c r="S75" s="69"/>
      <c r="T75" s="69"/>
      <c r="U75" s="69"/>
      <c r="V75" s="69"/>
      <c r="W75" s="69"/>
      <c r="X75" s="69"/>
      <c r="Y75" s="70"/>
      <c r="Z75" s="70"/>
      <c r="AA75" s="70"/>
      <c r="AB75" s="70"/>
      <c r="AC75" s="70"/>
      <c r="AD75" s="71"/>
      <c r="AE75" s="71"/>
      <c r="AF75" s="71"/>
      <c r="AG75" s="71"/>
      <c r="AH75" s="71"/>
      <c r="AI75" s="71"/>
      <c r="AJ75" s="71"/>
      <c r="AK75" s="71"/>
      <c r="AL75" s="71"/>
      <c r="AM75" s="72"/>
      <c r="AN75" s="72"/>
      <c r="AO75" s="72"/>
      <c r="AP75" s="72"/>
      <c r="AQ75" s="72"/>
      <c r="AR75" s="73"/>
      <c r="AS75" s="33"/>
      <c r="AT75" s="74"/>
      <c r="AU75" s="74"/>
      <c r="AV75" s="74"/>
      <c r="AW75" s="74"/>
      <c r="AX75" s="74"/>
      <c r="AY75" s="74"/>
      <c r="AZ75" s="74"/>
      <c r="BA75" s="74"/>
      <c r="BB75" s="34"/>
      <c r="BE75" s="31"/>
      <c r="BF75" s="33"/>
      <c r="BG75" s="33"/>
      <c r="BH75" s="33"/>
      <c r="BI75" s="85" t="s">
        <v>96</v>
      </c>
      <c r="BJ75" s="85"/>
      <c r="BK75" s="85"/>
      <c r="BL75" s="85"/>
      <c r="BM75" s="85"/>
      <c r="BN75" s="85"/>
      <c r="BO75" s="85"/>
      <c r="BP75" s="85"/>
      <c r="BQ75" s="85"/>
      <c r="BR75" s="85"/>
      <c r="BS75" s="85"/>
      <c r="BT75" s="85"/>
      <c r="BU75" s="85"/>
      <c r="BV75" s="85"/>
      <c r="BW75" s="85"/>
      <c r="BX75" s="85"/>
      <c r="BY75" s="85"/>
      <c r="BZ75" s="85"/>
      <c r="CA75" s="85"/>
      <c r="CB75" s="85"/>
      <c r="CC75" s="33"/>
      <c r="CD75" s="33"/>
      <c r="CE75" s="33"/>
      <c r="CF75" s="34"/>
    </row>
    <row r="76" spans="2:88" ht="1.5" customHeight="1">
      <c r="B76" s="20"/>
      <c r="C76" s="48"/>
      <c r="D76" s="48"/>
      <c r="E76" s="48"/>
      <c r="F76" s="48"/>
      <c r="G76" s="48"/>
      <c r="H76" s="24"/>
      <c r="J76" s="31"/>
      <c r="K76" s="67"/>
      <c r="L76" s="68"/>
      <c r="M76" s="68"/>
      <c r="N76" s="68"/>
      <c r="O76" s="68"/>
      <c r="P76" s="68"/>
      <c r="Q76" s="69"/>
      <c r="R76" s="69"/>
      <c r="S76" s="69"/>
      <c r="T76" s="69"/>
      <c r="U76" s="69"/>
      <c r="V76" s="69"/>
      <c r="W76" s="69"/>
      <c r="X76" s="69"/>
      <c r="Y76" s="70"/>
      <c r="Z76" s="70"/>
      <c r="AA76" s="70"/>
      <c r="AB76" s="70"/>
      <c r="AC76" s="70"/>
      <c r="AD76" s="71"/>
      <c r="AE76" s="71"/>
      <c r="AF76" s="71"/>
      <c r="AG76" s="71"/>
      <c r="AH76" s="71"/>
      <c r="AI76" s="71"/>
      <c r="AJ76" s="71"/>
      <c r="AK76" s="71"/>
      <c r="AL76" s="71"/>
      <c r="AM76" s="72"/>
      <c r="AN76" s="72"/>
      <c r="AO76" s="72"/>
      <c r="AP76" s="72"/>
      <c r="AQ76" s="72"/>
      <c r="AR76" s="73"/>
      <c r="AS76" s="76"/>
      <c r="AT76" s="74"/>
      <c r="AU76" s="74"/>
      <c r="AV76" s="74"/>
      <c r="AW76" s="74"/>
      <c r="AX76" s="74"/>
      <c r="AY76" s="74"/>
      <c r="AZ76" s="74"/>
      <c r="BA76" s="74"/>
      <c r="BB76" s="34"/>
      <c r="BE76" s="31"/>
      <c r="BF76" s="33"/>
      <c r="BG76" s="33"/>
      <c r="BH76" s="33"/>
      <c r="BI76" s="85"/>
      <c r="BJ76" s="85"/>
      <c r="BK76" s="85"/>
      <c r="BL76" s="85"/>
      <c r="BM76" s="85"/>
      <c r="BN76" s="85"/>
      <c r="BO76" s="85"/>
      <c r="BP76" s="85"/>
      <c r="BQ76" s="85"/>
      <c r="BR76" s="85"/>
      <c r="BS76" s="85"/>
      <c r="BT76" s="85"/>
      <c r="BU76" s="85"/>
      <c r="BV76" s="85"/>
      <c r="BW76" s="85"/>
      <c r="BX76" s="85"/>
      <c r="BY76" s="85"/>
      <c r="BZ76" s="85"/>
      <c r="CA76" s="85"/>
      <c r="CB76" s="85"/>
      <c r="CC76" s="33"/>
      <c r="CD76" s="33"/>
      <c r="CE76" s="33"/>
      <c r="CF76" s="34"/>
    </row>
    <row r="77" spans="2:88" ht="7.5" customHeight="1">
      <c r="B77" s="20"/>
      <c r="C77" s="48"/>
      <c r="D77" s="48"/>
      <c r="E77" s="48"/>
      <c r="F77" s="48"/>
      <c r="G77" s="48"/>
      <c r="H77" s="24"/>
      <c r="J77" s="31"/>
      <c r="K77" s="67" t="str">
        <f>IF('Расчет'!$C$101="","",10)</f>
        <v/>
      </c>
      <c r="L77" s="68" t="str">
        <f>'Расчет'!$C$101</f>
        <v/>
      </c>
      <c r="M77" s="68"/>
      <c r="N77" s="68"/>
      <c r="O77" s="68"/>
      <c r="P77" s="68"/>
      <c r="Q77" s="69" t="str">
        <f>IF('Расчет'!$C$101="","",IF('Расчет'!$D$101="","—",'Расчет'!$D$101))</f>
        <v/>
      </c>
      <c r="R77" s="69"/>
      <c r="S77" s="69"/>
      <c r="T77" s="69"/>
      <c r="U77" s="69"/>
      <c r="V77" s="69"/>
      <c r="W77" s="69"/>
      <c r="X77" s="69"/>
      <c r="Y77" s="70" t="str">
        <f>IF('Расчет'!$C$101="","",CHOOSE('Расчет'!$E$101+1,"●  НЕТ ДАННЫХ","●  НОРМА","●  ВНИМАНИЕ","●  РИСК","●  ПРЕВЫШЕНИЕ"))</f>
        <v/>
      </c>
      <c r="Z77" s="70"/>
      <c r="AA77" s="70"/>
      <c r="AB77" s="70"/>
      <c r="AC77" s="70"/>
      <c r="AD77" s="71" t="str">
        <f>IF('Расчет'!$C$101="","",CHOOSE('Расчет'!$E$101+1,"—",c_ZoneG,c_ZoneY,c_ZoneR,c_ZoneX))</f>
        <v/>
      </c>
      <c r="AE77" s="71"/>
      <c r="AF77" s="71"/>
      <c r="AG77" s="71"/>
      <c r="AH77" s="71"/>
      <c r="AI77" s="71"/>
      <c r="AJ77" s="71"/>
      <c r="AK77" s="71"/>
      <c r="AL77" s="71"/>
      <c r="AM77" s="72" t="str">
        <f>IF(OR('Расчет'!$C$101="",'Расчет'!$F$101=""),"",'Расчет'!$F$101)</f>
        <v/>
      </c>
      <c r="AN77" s="72"/>
      <c r="AO77" s="72"/>
      <c r="AP77" s="72"/>
      <c r="AQ77" s="72"/>
      <c r="AR77" s="73" t="str">
        <f>IF(OR('Расчет'!$C$101="",'Расчет'!$F$101=""),"",IF('Расчет'!$F$101&gt;0.00001,"↑",IF('Расчет'!$F$101&lt;-0.00001,"↓","—")))</f>
        <v/>
      </c>
      <c r="AS77" s="33"/>
      <c r="AT77" s="74"/>
      <c r="AU77" s="74"/>
      <c r="AV77" s="74"/>
      <c r="AW77" s="74"/>
      <c r="AX77" s="74"/>
      <c r="AY77" s="74"/>
      <c r="AZ77" s="74"/>
      <c r="BA77" s="74"/>
      <c r="BB77" s="34"/>
      <c r="BE77" s="31"/>
      <c r="BF77" s="33"/>
      <c r="BG77" s="33"/>
      <c r="BH77" s="33"/>
      <c r="BI77" s="85"/>
      <c r="BJ77" s="85"/>
      <c r="BK77" s="85"/>
      <c r="BL77" s="85"/>
      <c r="BM77" s="85"/>
      <c r="BN77" s="85"/>
      <c r="BO77" s="85"/>
      <c r="BP77" s="85"/>
      <c r="BQ77" s="85"/>
      <c r="BR77" s="85"/>
      <c r="BS77" s="85"/>
      <c r="BT77" s="85"/>
      <c r="BU77" s="85"/>
      <c r="BV77" s="85"/>
      <c r="BW77" s="85"/>
      <c r="BX77" s="85"/>
      <c r="BY77" s="85"/>
      <c r="BZ77" s="85"/>
      <c r="CA77" s="85"/>
      <c r="CB77" s="85"/>
      <c r="CC77" s="33"/>
      <c r="CD77" s="33"/>
      <c r="CE77" s="33"/>
      <c r="CF77" s="34"/>
      <c r="CI77">
        <f>'Расчет'!$E$101</f>
        <v>-1.0</v>
      </c>
      <c r="CJ77">
        <f>'Расчет'!$G$101</f>
        <v>0.0</v>
      </c>
    </row>
    <row r="78" spans="2:88" ht="1.5" customHeight="1">
      <c r="B78" s="20"/>
      <c r="C78" s="48"/>
      <c r="D78" s="48"/>
      <c r="E78" s="48"/>
      <c r="F78" s="48"/>
      <c r="G78" s="48"/>
      <c r="H78" s="24"/>
      <c r="J78" s="31"/>
      <c r="K78" s="67"/>
      <c r="L78" s="68"/>
      <c r="M78" s="68"/>
      <c r="N78" s="68"/>
      <c r="O78" s="68"/>
      <c r="P78" s="68"/>
      <c r="Q78" s="69"/>
      <c r="R78" s="69"/>
      <c r="S78" s="69"/>
      <c r="T78" s="69"/>
      <c r="U78" s="69"/>
      <c r="V78" s="69"/>
      <c r="W78" s="69"/>
      <c r="X78" s="69"/>
      <c r="Y78" s="70"/>
      <c r="Z78" s="70"/>
      <c r="AA78" s="70"/>
      <c r="AB78" s="70"/>
      <c r="AC78" s="70"/>
      <c r="AD78" s="71"/>
      <c r="AE78" s="71"/>
      <c r="AF78" s="71"/>
      <c r="AG78" s="71"/>
      <c r="AH78" s="71"/>
      <c r="AI78" s="71"/>
      <c r="AJ78" s="71"/>
      <c r="AK78" s="71"/>
      <c r="AL78" s="71"/>
      <c r="AM78" s="72"/>
      <c r="AN78" s="72"/>
      <c r="AO78" s="72"/>
      <c r="AP78" s="72"/>
      <c r="AQ78" s="72"/>
      <c r="AR78" s="73"/>
      <c r="AS78" s="33"/>
      <c r="AT78" s="74"/>
      <c r="AU78" s="74"/>
      <c r="AV78" s="74"/>
      <c r="AW78" s="74"/>
      <c r="AX78" s="74"/>
      <c r="AY78" s="74"/>
      <c r="AZ78" s="74"/>
      <c r="BA78" s="74"/>
      <c r="BB78" s="34"/>
      <c r="BE78" s="56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7"/>
      <c r="CC78" s="57"/>
      <c r="CD78" s="57"/>
      <c r="CE78" s="57"/>
      <c r="CF78" s="58"/>
    </row>
    <row r="79" spans="2:88" ht="9" customHeight="1">
      <c r="B79" s="20"/>
      <c r="C79" s="48"/>
      <c r="D79" s="48"/>
      <c r="E79" s="48"/>
      <c r="F79" s="48"/>
      <c r="G79" s="48"/>
      <c r="H79" s="24"/>
      <c r="J79" s="31"/>
      <c r="K79" s="67"/>
      <c r="L79" s="68"/>
      <c r="M79" s="68"/>
      <c r="N79" s="68"/>
      <c r="O79" s="68"/>
      <c r="P79" s="68"/>
      <c r="Q79" s="69"/>
      <c r="R79" s="69"/>
      <c r="S79" s="69"/>
      <c r="T79" s="69"/>
      <c r="U79" s="69"/>
      <c r="V79" s="69"/>
      <c r="W79" s="69"/>
      <c r="X79" s="69"/>
      <c r="Y79" s="70"/>
      <c r="Z79" s="70"/>
      <c r="AA79" s="70"/>
      <c r="AB79" s="70"/>
      <c r="AC79" s="70"/>
      <c r="AD79" s="71"/>
      <c r="AE79" s="71"/>
      <c r="AF79" s="71"/>
      <c r="AG79" s="71"/>
      <c r="AH79" s="71"/>
      <c r="AI79" s="71"/>
      <c r="AJ79" s="71"/>
      <c r="AK79" s="71"/>
      <c r="AL79" s="71"/>
      <c r="AM79" s="72"/>
      <c r="AN79" s="72"/>
      <c r="AO79" s="72"/>
      <c r="AP79" s="72"/>
      <c r="AQ79" s="72"/>
      <c r="AR79" s="73"/>
      <c r="AS79" s="33"/>
      <c r="AT79" s="74"/>
      <c r="AU79" s="74"/>
      <c r="AV79" s="74"/>
      <c r="AW79" s="74"/>
      <c r="AX79" s="74"/>
      <c r="AY79" s="74"/>
      <c r="AZ79" s="74"/>
      <c r="BA79" s="74"/>
      <c r="BB79" s="34"/>
    </row>
    <row r="80" spans="2:88" ht="1.5" customHeight="1">
      <c r="B80" s="20"/>
      <c r="C80" s="48"/>
      <c r="D80" s="48"/>
      <c r="E80" s="48"/>
      <c r="F80" s="48"/>
      <c r="G80" s="48"/>
      <c r="H80" s="24"/>
      <c r="J80" s="31"/>
      <c r="K80" s="67"/>
      <c r="L80" s="68"/>
      <c r="M80" s="68"/>
      <c r="N80" s="68"/>
      <c r="O80" s="68"/>
      <c r="P80" s="68"/>
      <c r="Q80" s="69"/>
      <c r="R80" s="69"/>
      <c r="S80" s="69"/>
      <c r="T80" s="69"/>
      <c r="U80" s="69"/>
      <c r="V80" s="69"/>
      <c r="W80" s="69"/>
      <c r="X80" s="69"/>
      <c r="Y80" s="70"/>
      <c r="Z80" s="70"/>
      <c r="AA80" s="70"/>
      <c r="AB80" s="70"/>
      <c r="AC80" s="70"/>
      <c r="AD80" s="71"/>
      <c r="AE80" s="71"/>
      <c r="AF80" s="71"/>
      <c r="AG80" s="71"/>
      <c r="AH80" s="71"/>
      <c r="AI80" s="71"/>
      <c r="AJ80" s="71"/>
      <c r="AK80" s="71"/>
      <c r="AL80" s="71"/>
      <c r="AM80" s="72"/>
      <c r="AN80" s="72"/>
      <c r="AO80" s="72"/>
      <c r="AP80" s="72"/>
      <c r="AQ80" s="72"/>
      <c r="AR80" s="73"/>
      <c r="AS80" s="76"/>
      <c r="AT80" s="74"/>
      <c r="AU80" s="74"/>
      <c r="AV80" s="74"/>
      <c r="AW80" s="74"/>
      <c r="AX80" s="74"/>
      <c r="AY80" s="74"/>
      <c r="AZ80" s="74"/>
      <c r="BA80" s="74"/>
      <c r="BB80" s="34"/>
      <c r="BE80" s="28"/>
      <c r="BF80" s="29"/>
      <c r="BG80" s="29"/>
      <c r="BH80" s="29"/>
      <c r="BI80" s="60" t="s">
        <v>97</v>
      </c>
      <c r="BJ80" s="60"/>
      <c r="BK80" s="60"/>
      <c r="BL80" s="60"/>
      <c r="BM80" s="60"/>
      <c r="BN80" s="60"/>
      <c r="BO80" s="60"/>
      <c r="BP80" s="60"/>
      <c r="BQ80" s="60"/>
      <c r="BR80" s="60"/>
      <c r="BS80" s="60"/>
      <c r="BT80" s="60"/>
      <c r="BU80" s="60"/>
      <c r="BV80" s="60"/>
      <c r="BW80" s="60"/>
      <c r="BX80" s="60"/>
      <c r="BY80" s="60"/>
      <c r="BZ80" s="60"/>
      <c r="CA80" s="60"/>
      <c r="CB80" s="60"/>
      <c r="CC80" s="60"/>
      <c r="CD80" s="60"/>
      <c r="CE80" s="29"/>
      <c r="CF80" s="30"/>
    </row>
    <row r="81" spans="2:88" ht="19.5" customHeight="1">
      <c r="B81" s="20"/>
      <c r="C81" s="48"/>
      <c r="D81" s="48"/>
      <c r="E81" s="48"/>
      <c r="F81" s="48"/>
      <c r="G81" s="48"/>
      <c r="H81" s="24"/>
      <c r="J81" s="31"/>
      <c r="K81" s="67" t="str">
        <f>IF('Расчет'!$C$102="","",11)</f>
        <v/>
      </c>
      <c r="L81" s="68" t="str">
        <f>'Расчет'!$C$102</f>
        <v/>
      </c>
      <c r="M81" s="68"/>
      <c r="N81" s="68"/>
      <c r="O81" s="68"/>
      <c r="P81" s="68"/>
      <c r="Q81" s="69" t="str">
        <f>IF('Расчет'!$C$102="","",IF('Расчет'!$D$102="","—",'Расчет'!$D$102))</f>
        <v/>
      </c>
      <c r="R81" s="69"/>
      <c r="S81" s="69"/>
      <c r="T81" s="69"/>
      <c r="U81" s="69"/>
      <c r="V81" s="69"/>
      <c r="W81" s="69"/>
      <c r="X81" s="69"/>
      <c r="Y81" s="70" t="str">
        <f>IF('Расчет'!$C$102="","",CHOOSE('Расчет'!$E$102+1,"●  НЕТ ДАННЫХ","●  НОРМА","●  ВНИМАНИЕ","●  РИСК","●  ПРЕВЫШЕНИЕ"))</f>
        <v/>
      </c>
      <c r="Z81" s="70"/>
      <c r="AA81" s="70"/>
      <c r="AB81" s="70"/>
      <c r="AC81" s="70"/>
      <c r="AD81" s="71" t="str">
        <f>IF('Расчет'!$C$102="","",CHOOSE('Расчет'!$E$102+1,"—",c_ZoneG,c_ZoneY,c_ZoneR,c_ZoneX))</f>
        <v/>
      </c>
      <c r="AE81" s="71"/>
      <c r="AF81" s="71"/>
      <c r="AG81" s="71"/>
      <c r="AH81" s="71"/>
      <c r="AI81" s="71"/>
      <c r="AJ81" s="71"/>
      <c r="AK81" s="71"/>
      <c r="AL81" s="71"/>
      <c r="AM81" s="72" t="str">
        <f>IF(OR('Расчет'!$C$102="",'Расчет'!$F$102=""),"",'Расчет'!$F$102)</f>
        <v/>
      </c>
      <c r="AN81" s="72"/>
      <c r="AO81" s="72"/>
      <c r="AP81" s="72"/>
      <c r="AQ81" s="72"/>
      <c r="AR81" s="73" t="str">
        <f>IF(OR('Расчет'!$C$102="",'Расчет'!$F$102=""),"",IF('Расчет'!$F$102&gt;0.00001,"↑",IF('Расчет'!$F$102&lt;-0.00001,"↓","—")))</f>
        <v/>
      </c>
      <c r="AS81" s="76"/>
      <c r="AT81" s="74"/>
      <c r="AU81" s="74"/>
      <c r="AV81" s="74"/>
      <c r="AW81" s="74"/>
      <c r="AX81" s="74"/>
      <c r="AY81" s="74"/>
      <c r="AZ81" s="74"/>
      <c r="BA81" s="74"/>
      <c r="BB81" s="34"/>
      <c r="BE81" s="31"/>
      <c r="BF81" s="33"/>
      <c r="BG81" s="33"/>
      <c r="BH81" s="33"/>
      <c r="BI81" s="60"/>
      <c r="BJ81" s="60"/>
      <c r="BK81" s="60"/>
      <c r="BL81" s="60"/>
      <c r="BM81" s="60"/>
      <c r="BN81" s="60"/>
      <c r="BO81" s="60"/>
      <c r="BP81" s="60"/>
      <c r="BQ81" s="60"/>
      <c r="BR81" s="60"/>
      <c r="BS81" s="60"/>
      <c r="BT81" s="60"/>
      <c r="BU81" s="60"/>
      <c r="BV81" s="60"/>
      <c r="BW81" s="60"/>
      <c r="BX81" s="60"/>
      <c r="BY81" s="60"/>
      <c r="BZ81" s="60"/>
      <c r="CA81" s="60"/>
      <c r="CB81" s="60"/>
      <c r="CC81" s="60"/>
      <c r="CD81" s="60"/>
      <c r="CE81" s="33"/>
      <c r="CF81" s="34"/>
      <c r="CI81">
        <f>'Расчет'!$E$102</f>
        <v>-1.0</v>
      </c>
      <c r="CJ81">
        <f>'Расчет'!$G$102</f>
        <v>0.0</v>
      </c>
    </row>
    <row r="82" spans="2:88" ht="1.5" customHeight="1">
      <c r="B82" s="20"/>
      <c r="C82" s="59" t="s">
        <v>72</v>
      </c>
      <c r="D82" s="59"/>
      <c r="E82" s="59"/>
      <c r="F82" s="59"/>
      <c r="G82" s="59"/>
      <c r="H82" s="24"/>
      <c r="J82" s="31"/>
      <c r="K82" s="67" t="str">
        <f>IF('Расчет'!$C$103="","",12)</f>
        <v/>
      </c>
      <c r="L82" s="68" t="str">
        <f>'Расчет'!$C$103</f>
        <v/>
      </c>
      <c r="M82" s="68"/>
      <c r="N82" s="68"/>
      <c r="O82" s="68"/>
      <c r="P82" s="68"/>
      <c r="Q82" s="69" t="str">
        <f>IF('Расчет'!$C$103="","",IF('Расчет'!$D$103="","—",'Расчет'!$D$103))</f>
        <v/>
      </c>
      <c r="R82" s="69"/>
      <c r="S82" s="69"/>
      <c r="T82" s="69"/>
      <c r="U82" s="69"/>
      <c r="V82" s="69"/>
      <c r="W82" s="69"/>
      <c r="X82" s="69"/>
      <c r="Y82" s="70" t="str">
        <f>IF('Расчет'!$C$103="","",CHOOSE('Расчет'!$E$103+1,"●  НЕТ ДАННЫХ","●  НОРМА","●  ВНИМАНИЕ","●  РИСК","●  ПРЕВЫШЕНИЕ"))</f>
        <v/>
      </c>
      <c r="Z82" s="70"/>
      <c r="AA82" s="70"/>
      <c r="AB82" s="70"/>
      <c r="AC82" s="70"/>
      <c r="AD82" s="71" t="str">
        <f>IF('Расчет'!$C$103="","",CHOOSE('Расчет'!$E$103+1,"—",c_ZoneG,c_ZoneY,c_ZoneR,c_ZoneX))</f>
        <v/>
      </c>
      <c r="AE82" s="71"/>
      <c r="AF82" s="71"/>
      <c r="AG82" s="71"/>
      <c r="AH82" s="71"/>
      <c r="AI82" s="71"/>
      <c r="AJ82" s="71"/>
      <c r="AK82" s="71"/>
      <c r="AL82" s="71"/>
      <c r="AM82" s="72" t="str">
        <f>IF(OR('Расчет'!$C$103="",'Расчет'!$F$103=""),"",'Расчет'!$F$103)</f>
        <v/>
      </c>
      <c r="AN82" s="72"/>
      <c r="AO82" s="72"/>
      <c r="AP82" s="72"/>
      <c r="AQ82" s="72"/>
      <c r="AR82" s="73" t="str">
        <f>IF(OR('Расчет'!$C$103="",'Расчет'!$F$103=""),"",IF('Расчет'!$F$103&gt;0.00001,"↑",IF('Расчет'!$F$103&lt;-0.00001,"↓","—")))</f>
        <v/>
      </c>
      <c r="AS82" s="33"/>
      <c r="AT82" s="74"/>
      <c r="AU82" s="74"/>
      <c r="AV82" s="74"/>
      <c r="AW82" s="74"/>
      <c r="AX82" s="74"/>
      <c r="AY82" s="74"/>
      <c r="AZ82" s="74"/>
      <c r="BA82" s="74"/>
      <c r="BB82" s="34"/>
      <c r="BE82" s="31"/>
      <c r="BF82" s="33"/>
      <c r="BG82" s="33"/>
      <c r="BH82" s="33"/>
      <c r="BI82" s="60"/>
      <c r="BJ82" s="60"/>
      <c r="BK82" s="60"/>
      <c r="BL82" s="60"/>
      <c r="BM82" s="60"/>
      <c r="BN82" s="60"/>
      <c r="BO82" s="60"/>
      <c r="BP82" s="60"/>
      <c r="BQ82" s="60"/>
      <c r="BR82" s="60"/>
      <c r="BS82" s="60"/>
      <c r="BT82" s="60"/>
      <c r="BU82" s="60"/>
      <c r="BV82" s="60"/>
      <c r="BW82" s="60"/>
      <c r="BX82" s="60"/>
      <c r="BY82" s="60"/>
      <c r="BZ82" s="60"/>
      <c r="CA82" s="60"/>
      <c r="CB82" s="60"/>
      <c r="CC82" s="60"/>
      <c r="CD82" s="60"/>
      <c r="CE82" s="33"/>
      <c r="CF82" s="34"/>
      <c r="CI82">
        <f>'Расчет'!$E$103</f>
        <v>-1.0</v>
      </c>
      <c r="CJ82">
        <f>'Расчет'!$G$103</f>
        <v>0.0</v>
      </c>
    </row>
    <row r="83" spans="2:88">
      <c r="B83" s="20"/>
      <c r="C83" s="59"/>
      <c r="D83" s="59"/>
      <c r="E83" s="59"/>
      <c r="F83" s="59"/>
      <c r="G83" s="59"/>
      <c r="H83" s="24"/>
      <c r="J83" s="31"/>
      <c r="K83" s="67"/>
      <c r="L83" s="68"/>
      <c r="M83" s="68"/>
      <c r="N83" s="68"/>
      <c r="O83" s="68"/>
      <c r="P83" s="68"/>
      <c r="Q83" s="69"/>
      <c r="R83" s="69"/>
      <c r="S83" s="69"/>
      <c r="T83" s="69"/>
      <c r="U83" s="69"/>
      <c r="V83" s="69"/>
      <c r="W83" s="69"/>
      <c r="X83" s="69"/>
      <c r="Y83" s="70"/>
      <c r="Z83" s="70"/>
      <c r="AA83" s="70"/>
      <c r="AB83" s="70"/>
      <c r="AC83" s="70"/>
      <c r="AD83" s="71"/>
      <c r="AE83" s="71"/>
      <c r="AF83" s="71"/>
      <c r="AG83" s="71"/>
      <c r="AH83" s="71"/>
      <c r="AI83" s="71"/>
      <c r="AJ83" s="71"/>
      <c r="AK83" s="71"/>
      <c r="AL83" s="71"/>
      <c r="AM83" s="72"/>
      <c r="AN83" s="72"/>
      <c r="AO83" s="72"/>
      <c r="AP83" s="72"/>
      <c r="AQ83" s="72"/>
      <c r="AR83" s="73"/>
      <c r="AS83" s="33"/>
      <c r="AT83" s="74"/>
      <c r="AU83" s="74"/>
      <c r="AV83" s="74"/>
      <c r="AW83" s="74"/>
      <c r="AX83" s="74"/>
      <c r="AY83" s="74"/>
      <c r="AZ83" s="74"/>
      <c r="BA83" s="74"/>
      <c r="BB83" s="34"/>
      <c r="BE83" s="31"/>
      <c r="BF83" s="33"/>
      <c r="BG83" s="33"/>
      <c r="BH83" s="33"/>
      <c r="BI83" s="33"/>
      <c r="BJ83" s="33"/>
      <c r="BK83" s="33"/>
      <c r="BL83" s="33"/>
      <c r="BM83" s="33"/>
      <c r="BN83" s="33"/>
      <c r="BO83" s="33"/>
      <c r="BP83" s="33"/>
      <c r="BQ83" s="33"/>
      <c r="BR83" s="33"/>
      <c r="BS83" s="33"/>
      <c r="BT83" s="33"/>
      <c r="BU83" s="33"/>
      <c r="BV83" s="33"/>
      <c r="BW83" s="33"/>
      <c r="BX83" s="33"/>
      <c r="BY83" s="33"/>
      <c r="BZ83" s="33"/>
      <c r="CA83" s="33"/>
      <c r="CB83" s="33"/>
      <c r="CC83" s="33"/>
      <c r="CD83" s="33"/>
      <c r="CE83" s="33"/>
      <c r="CF83" s="34"/>
    </row>
    <row r="84" spans="2:88" ht="1.5" customHeight="1">
      <c r="B84" s="20"/>
      <c r="C84" s="59"/>
      <c r="D84" s="59"/>
      <c r="E84" s="59"/>
      <c r="F84" s="59"/>
      <c r="G84" s="59"/>
      <c r="H84" s="24"/>
      <c r="J84" s="31"/>
      <c r="K84" s="67"/>
      <c r="L84" s="68"/>
      <c r="M84" s="68"/>
      <c r="N84" s="68"/>
      <c r="O84" s="68"/>
      <c r="P84" s="68"/>
      <c r="Q84" s="69"/>
      <c r="R84" s="69"/>
      <c r="S84" s="69"/>
      <c r="T84" s="69"/>
      <c r="U84" s="69"/>
      <c r="V84" s="69"/>
      <c r="W84" s="69"/>
      <c r="X84" s="69"/>
      <c r="Y84" s="70"/>
      <c r="Z84" s="70"/>
      <c r="AA84" s="70"/>
      <c r="AB84" s="70"/>
      <c r="AC84" s="70"/>
      <c r="AD84" s="71"/>
      <c r="AE84" s="71"/>
      <c r="AF84" s="71"/>
      <c r="AG84" s="71"/>
      <c r="AH84" s="71"/>
      <c r="AI84" s="71"/>
      <c r="AJ84" s="71"/>
      <c r="AK84" s="71"/>
      <c r="AL84" s="71"/>
      <c r="AM84" s="72"/>
      <c r="AN84" s="72"/>
      <c r="AO84" s="72"/>
      <c r="AP84" s="72"/>
      <c r="AQ84" s="72"/>
      <c r="AR84" s="73"/>
      <c r="AS84" s="33"/>
      <c r="AT84" s="74"/>
      <c r="AU84" s="74"/>
      <c r="AV84" s="74"/>
      <c r="AW84" s="74"/>
      <c r="AX84" s="74"/>
      <c r="AY84" s="74"/>
      <c r="AZ84" s="74"/>
      <c r="BA84" s="74"/>
      <c r="BB84" s="34"/>
      <c r="BE84" s="31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33"/>
      <c r="BT84" s="33"/>
      <c r="BU84" s="33"/>
      <c r="BV84" s="86" t="s">
        <v>99</v>
      </c>
      <c r="BW84" s="87" t="s">
        <v>17</v>
      </c>
      <c r="BX84" s="87"/>
      <c r="BY84" s="87"/>
      <c r="BZ84" s="87"/>
      <c r="CA84" s="88" t="str">
        <f>c_LegG</f>
        <v>0 (0%)</v>
      </c>
      <c r="CB84" s="88"/>
      <c r="CC84" s="88"/>
      <c r="CD84" s="33"/>
      <c r="CE84" s="33"/>
      <c r="CF84" s="34"/>
    </row>
    <row r="85" spans="2:88" ht="1.5" customHeight="1">
      <c r="B85" s="20"/>
      <c r="C85" s="48"/>
      <c r="D85" s="48"/>
      <c r="E85" s="48"/>
      <c r="F85" s="48"/>
      <c r="G85" s="48"/>
      <c r="H85" s="24"/>
      <c r="J85" s="31"/>
      <c r="K85" s="67"/>
      <c r="L85" s="68"/>
      <c r="M85" s="68"/>
      <c r="N85" s="68"/>
      <c r="O85" s="68"/>
      <c r="P85" s="68"/>
      <c r="Q85" s="69"/>
      <c r="R85" s="69"/>
      <c r="S85" s="69"/>
      <c r="T85" s="69"/>
      <c r="U85" s="69"/>
      <c r="V85" s="69"/>
      <c r="W85" s="69"/>
      <c r="X85" s="69"/>
      <c r="Y85" s="70"/>
      <c r="Z85" s="70"/>
      <c r="AA85" s="70"/>
      <c r="AB85" s="70"/>
      <c r="AC85" s="70"/>
      <c r="AD85" s="71"/>
      <c r="AE85" s="71"/>
      <c r="AF85" s="71"/>
      <c r="AG85" s="71"/>
      <c r="AH85" s="71"/>
      <c r="AI85" s="71"/>
      <c r="AJ85" s="71"/>
      <c r="AK85" s="71"/>
      <c r="AL85" s="71"/>
      <c r="AM85" s="72"/>
      <c r="AN85" s="72"/>
      <c r="AO85" s="72"/>
      <c r="AP85" s="72"/>
      <c r="AQ85" s="72"/>
      <c r="AR85" s="73"/>
      <c r="AS85" s="76"/>
      <c r="AT85" s="74"/>
      <c r="AU85" s="74"/>
      <c r="AV85" s="74"/>
      <c r="AW85" s="74"/>
      <c r="AX85" s="74"/>
      <c r="AY85" s="74"/>
      <c r="AZ85" s="74"/>
      <c r="BA85" s="74"/>
      <c r="BB85" s="34"/>
      <c r="BE85" s="31"/>
      <c r="BF85" s="33"/>
      <c r="BG85" s="33"/>
      <c r="BH85" s="33"/>
      <c r="BI85" s="33"/>
      <c r="BJ85" s="33"/>
      <c r="BK85" s="33"/>
      <c r="BL85" s="33"/>
      <c r="BM85" s="33"/>
      <c r="BN85" s="33"/>
      <c r="BO85" s="33"/>
      <c r="BP85" s="33"/>
      <c r="BQ85" s="33"/>
      <c r="BR85" s="33"/>
      <c r="BS85" s="33"/>
      <c r="BT85" s="33"/>
      <c r="BU85" s="33"/>
      <c r="BV85" s="86"/>
      <c r="BW85" s="87"/>
      <c r="BX85" s="87"/>
      <c r="BY85" s="87"/>
      <c r="BZ85" s="87"/>
      <c r="CA85" s="88"/>
      <c r="CB85" s="88"/>
      <c r="CC85" s="88"/>
      <c r="CD85" s="33"/>
      <c r="CE85" s="33"/>
      <c r="CF85" s="34"/>
    </row>
    <row r="86" spans="2:88">
      <c r="B86" s="20"/>
      <c r="C86" s="48"/>
      <c r="D86" s="48"/>
      <c r="E86" s="48"/>
      <c r="F86" s="48"/>
      <c r="G86" s="48"/>
      <c r="H86" s="24"/>
      <c r="J86" s="31"/>
      <c r="K86" s="67" t="str">
        <f>IF('Расчет'!$C$104="","",13)</f>
        <v/>
      </c>
      <c r="L86" s="68" t="str">
        <f>'Расчет'!$C$104</f>
        <v/>
      </c>
      <c r="M86" s="68"/>
      <c r="N86" s="68"/>
      <c r="O86" s="68"/>
      <c r="P86" s="68"/>
      <c r="Q86" s="69" t="str">
        <f>IF('Расчет'!$C$104="","",IF('Расчет'!$D$104="","—",'Расчет'!$D$104))</f>
        <v/>
      </c>
      <c r="R86" s="69"/>
      <c r="S86" s="69"/>
      <c r="T86" s="69"/>
      <c r="U86" s="69"/>
      <c r="V86" s="69"/>
      <c r="W86" s="69"/>
      <c r="X86" s="69"/>
      <c r="Y86" s="70" t="str">
        <f>IF('Расчет'!$C$104="","",CHOOSE('Расчет'!$E$104+1,"●  НЕТ ДАННЫХ","●  НОРМА","●  ВНИМАНИЕ","●  РИСК","●  ПРЕВЫШЕНИЕ"))</f>
        <v/>
      </c>
      <c r="Z86" s="70"/>
      <c r="AA86" s="70"/>
      <c r="AB86" s="70"/>
      <c r="AC86" s="70"/>
      <c r="AD86" s="71" t="str">
        <f>IF('Расчет'!$C$104="","",CHOOSE('Расчет'!$E$104+1,"—",c_ZoneG,c_ZoneY,c_ZoneR,c_ZoneX))</f>
        <v/>
      </c>
      <c r="AE86" s="71"/>
      <c r="AF86" s="71"/>
      <c r="AG86" s="71"/>
      <c r="AH86" s="71"/>
      <c r="AI86" s="71"/>
      <c r="AJ86" s="71"/>
      <c r="AK86" s="71"/>
      <c r="AL86" s="71"/>
      <c r="AM86" s="72" t="str">
        <f>IF(OR('Расчет'!$C$104="",'Расчет'!$F$104=""),"",'Расчет'!$F$104)</f>
        <v/>
      </c>
      <c r="AN86" s="72"/>
      <c r="AO86" s="72"/>
      <c r="AP86" s="72"/>
      <c r="AQ86" s="72"/>
      <c r="AR86" s="73" t="str">
        <f>IF(OR('Расчет'!$C$104="",'Расчет'!$F$104=""),"",IF('Расчет'!$F$104&gt;0.00001,"↑",IF('Расчет'!$F$104&lt;-0.00001,"↓","—")))</f>
        <v/>
      </c>
      <c r="AS86" s="33"/>
      <c r="AT86" s="74"/>
      <c r="AU86" s="74"/>
      <c r="AV86" s="74"/>
      <c r="AW86" s="74"/>
      <c r="AX86" s="74"/>
      <c r="AY86" s="74"/>
      <c r="AZ86" s="74"/>
      <c r="BA86" s="74"/>
      <c r="BB86" s="34"/>
      <c r="BE86" s="31"/>
      <c r="BF86" s="33"/>
      <c r="BG86" s="33"/>
      <c r="BH86" s="33"/>
      <c r="BI86" s="33"/>
      <c r="BJ86" s="33"/>
      <c r="BK86" s="33"/>
      <c r="BL86" s="33"/>
      <c r="BM86" s="33"/>
      <c r="BN86" s="33"/>
      <c r="BO86" s="33"/>
      <c r="BP86" s="33"/>
      <c r="BQ86" s="33"/>
      <c r="BR86" s="33"/>
      <c r="BS86" s="33"/>
      <c r="BT86" s="33"/>
      <c r="BU86" s="33"/>
      <c r="BV86" s="86"/>
      <c r="BW86" s="87"/>
      <c r="BX86" s="87"/>
      <c r="BY86" s="87"/>
      <c r="BZ86" s="87"/>
      <c r="CA86" s="88"/>
      <c r="CB86" s="88"/>
      <c r="CC86" s="88"/>
      <c r="CD86" s="33"/>
      <c r="CE86" s="33"/>
      <c r="CF86" s="34"/>
      <c r="CI86">
        <f>'Расчет'!$E$104</f>
        <v>-1.0</v>
      </c>
      <c r="CJ86">
        <f>'Расчет'!$G$104</f>
        <v>0.0</v>
      </c>
    </row>
    <row r="87" spans="2:88" ht="4.5" customHeight="1">
      <c r="B87" s="20"/>
      <c r="C87" s="48"/>
      <c r="D87" s="48"/>
      <c r="E87" s="48"/>
      <c r="F87" s="48"/>
      <c r="G87" s="48"/>
      <c r="H87" s="24"/>
      <c r="J87" s="31"/>
      <c r="K87" s="67"/>
      <c r="L87" s="68"/>
      <c r="M87" s="68"/>
      <c r="N87" s="68"/>
      <c r="O87" s="68"/>
      <c r="P87" s="68"/>
      <c r="Q87" s="69"/>
      <c r="R87" s="69"/>
      <c r="S87" s="69"/>
      <c r="T87" s="69"/>
      <c r="U87" s="69"/>
      <c r="V87" s="69"/>
      <c r="W87" s="69"/>
      <c r="X87" s="69"/>
      <c r="Y87" s="70"/>
      <c r="Z87" s="70"/>
      <c r="AA87" s="70"/>
      <c r="AB87" s="70"/>
      <c r="AC87" s="70"/>
      <c r="AD87" s="71"/>
      <c r="AE87" s="71"/>
      <c r="AF87" s="71"/>
      <c r="AG87" s="71"/>
      <c r="AH87" s="71"/>
      <c r="AI87" s="71"/>
      <c r="AJ87" s="71"/>
      <c r="AK87" s="71"/>
      <c r="AL87" s="71"/>
      <c r="AM87" s="72"/>
      <c r="AN87" s="72"/>
      <c r="AO87" s="72"/>
      <c r="AP87" s="72"/>
      <c r="AQ87" s="72"/>
      <c r="AR87" s="73"/>
      <c r="AS87" s="76"/>
      <c r="AT87" s="74"/>
      <c r="AU87" s="74"/>
      <c r="AV87" s="74"/>
      <c r="AW87" s="74"/>
      <c r="AX87" s="74"/>
      <c r="AY87" s="74"/>
      <c r="AZ87" s="74"/>
      <c r="BA87" s="74"/>
      <c r="BB87" s="34"/>
      <c r="BE87" s="31"/>
      <c r="BF87" s="33"/>
      <c r="BG87" s="33"/>
      <c r="BH87" s="33"/>
      <c r="BI87" s="33"/>
      <c r="BJ87" s="33"/>
      <c r="BK87" s="33"/>
      <c r="BL87" s="33"/>
      <c r="BM87" s="33"/>
      <c r="BN87" s="33"/>
      <c r="BO87" s="33"/>
      <c r="BP87" s="33"/>
      <c r="BQ87" s="33"/>
      <c r="BR87" s="33"/>
      <c r="BS87" s="33"/>
      <c r="BT87" s="33"/>
      <c r="BU87" s="33"/>
      <c r="BV87" s="33"/>
      <c r="BW87" s="33"/>
      <c r="BX87" s="33"/>
      <c r="BY87" s="33"/>
      <c r="BZ87" s="33"/>
      <c r="CA87" s="33"/>
      <c r="CB87" s="33"/>
      <c r="CC87" s="33"/>
      <c r="CD87" s="33"/>
      <c r="CE87" s="33"/>
      <c r="CF87" s="34"/>
    </row>
    <row r="88" spans="2:88" ht="18" customHeight="1">
      <c r="B88" s="20"/>
      <c r="C88" s="48"/>
      <c r="D88" s="48"/>
      <c r="E88" s="48"/>
      <c r="F88" s="48"/>
      <c r="G88" s="48"/>
      <c r="H88" s="24"/>
      <c r="J88" s="31"/>
      <c r="K88" s="67" t="str">
        <f>IF('Расчет'!$C$105="","",14)</f>
        <v/>
      </c>
      <c r="L88" s="68" t="str">
        <f>'Расчет'!$C$105</f>
        <v/>
      </c>
      <c r="M88" s="68"/>
      <c r="N88" s="68"/>
      <c r="O88" s="68"/>
      <c r="P88" s="68"/>
      <c r="Q88" s="69" t="str">
        <f>IF('Расчет'!$C$105="","",IF('Расчет'!$D$105="","—",'Расчет'!$D$105))</f>
        <v/>
      </c>
      <c r="R88" s="69"/>
      <c r="S88" s="69"/>
      <c r="T88" s="69"/>
      <c r="U88" s="69"/>
      <c r="V88" s="69"/>
      <c r="W88" s="69"/>
      <c r="X88" s="69"/>
      <c r="Y88" s="70" t="str">
        <f>IF('Расчет'!$C$105="","",CHOOSE('Расчет'!$E$105+1,"●  НЕТ ДАННЫХ","●  НОРМА","●  ВНИМАНИЕ","●  РИСК","●  ПРЕВЫШЕНИЕ"))</f>
        <v/>
      </c>
      <c r="Z88" s="70"/>
      <c r="AA88" s="70"/>
      <c r="AB88" s="70"/>
      <c r="AC88" s="70"/>
      <c r="AD88" s="71" t="str">
        <f>IF('Расчет'!$C$105="","",CHOOSE('Расчет'!$E$105+1,"—",c_ZoneG,c_ZoneY,c_ZoneR,c_ZoneX))</f>
        <v/>
      </c>
      <c r="AE88" s="71"/>
      <c r="AF88" s="71"/>
      <c r="AG88" s="71"/>
      <c r="AH88" s="71"/>
      <c r="AI88" s="71"/>
      <c r="AJ88" s="71"/>
      <c r="AK88" s="71"/>
      <c r="AL88" s="71"/>
      <c r="AM88" s="72" t="str">
        <f>IF(OR('Расчет'!$C$105="",'Расчет'!$F$105=""),"",'Расчет'!$F$105)</f>
        <v/>
      </c>
      <c r="AN88" s="72"/>
      <c r="AO88" s="72"/>
      <c r="AP88" s="72"/>
      <c r="AQ88" s="72"/>
      <c r="AR88" s="73" t="str">
        <f>IF(OR('Расчет'!$C$105="",'Расчет'!$F$105=""),"",IF('Расчет'!$F$105&gt;0.00001,"↑",IF('Расчет'!$F$105&lt;-0.00001,"↓","—")))</f>
        <v/>
      </c>
      <c r="AS88" s="33"/>
      <c r="AT88" s="74"/>
      <c r="AU88" s="74"/>
      <c r="AV88" s="74"/>
      <c r="AW88" s="74"/>
      <c r="AX88" s="74"/>
      <c r="AY88" s="74"/>
      <c r="AZ88" s="74"/>
      <c r="BA88" s="74"/>
      <c r="BB88" s="34"/>
      <c r="BE88" s="31"/>
      <c r="BF88" s="33"/>
      <c r="BG88" s="33"/>
      <c r="BH88" s="33"/>
      <c r="BI88" s="33"/>
      <c r="BJ88" s="33"/>
      <c r="BK88" s="33"/>
      <c r="BL88" s="89">
        <f>c_ObjCount</f>
        <v>0.0</v>
      </c>
      <c r="BM88" s="89"/>
      <c r="BN88" s="89"/>
      <c r="BO88" s="89"/>
      <c r="BP88" s="89"/>
      <c r="BQ88" s="33"/>
      <c r="BR88" s="33"/>
      <c r="BS88" s="33"/>
      <c r="BT88" s="33"/>
      <c r="BU88" s="33"/>
      <c r="BV88" s="90" t="s">
        <v>99</v>
      </c>
      <c r="BW88" s="87" t="s">
        <v>18</v>
      </c>
      <c r="BX88" s="87"/>
      <c r="BY88" s="87"/>
      <c r="BZ88" s="87"/>
      <c r="CA88" s="88" t="str">
        <f>c_LegY</f>
        <v>0 (0%)</v>
      </c>
      <c r="CB88" s="88"/>
      <c r="CC88" s="88"/>
      <c r="CD88" s="33"/>
      <c r="CE88" s="33"/>
      <c r="CF88" s="34"/>
      <c r="CI88">
        <f>'Расчет'!$E$105</f>
        <v>-1.0</v>
      </c>
      <c r="CJ88">
        <f>'Расчет'!$G$105</f>
        <v>0.0</v>
      </c>
    </row>
    <row r="89" spans="2:88" ht="1.5" customHeight="1">
      <c r="B89" s="20"/>
      <c r="C89" s="48"/>
      <c r="D89" s="48"/>
      <c r="E89" s="48"/>
      <c r="F89" s="48"/>
      <c r="G89" s="48"/>
      <c r="H89" s="24"/>
      <c r="J89" s="31"/>
      <c r="K89" s="67"/>
      <c r="L89" s="68"/>
      <c r="M89" s="68"/>
      <c r="N89" s="68"/>
      <c r="O89" s="68"/>
      <c r="P89" s="68"/>
      <c r="Q89" s="69"/>
      <c r="R89" s="69"/>
      <c r="S89" s="69"/>
      <c r="T89" s="69"/>
      <c r="U89" s="69"/>
      <c r="V89" s="69"/>
      <c r="W89" s="69"/>
      <c r="X89" s="69"/>
      <c r="Y89" s="70"/>
      <c r="Z89" s="70"/>
      <c r="AA89" s="70"/>
      <c r="AB89" s="70"/>
      <c r="AC89" s="70"/>
      <c r="AD89" s="71"/>
      <c r="AE89" s="71"/>
      <c r="AF89" s="71"/>
      <c r="AG89" s="71"/>
      <c r="AH89" s="71"/>
      <c r="AI89" s="71"/>
      <c r="AJ89" s="71"/>
      <c r="AK89" s="71"/>
      <c r="AL89" s="71"/>
      <c r="AM89" s="72"/>
      <c r="AN89" s="72"/>
      <c r="AO89" s="72"/>
      <c r="AP89" s="72"/>
      <c r="AQ89" s="72"/>
      <c r="AR89" s="73"/>
      <c r="AS89" s="76"/>
      <c r="AT89" s="74"/>
      <c r="AU89" s="74"/>
      <c r="AV89" s="74"/>
      <c r="AW89" s="74"/>
      <c r="AX89" s="74"/>
      <c r="AY89" s="74"/>
      <c r="AZ89" s="74"/>
      <c r="BA89" s="74"/>
      <c r="BB89" s="34"/>
      <c r="BE89" s="31"/>
      <c r="BF89" s="33"/>
      <c r="BG89" s="33"/>
      <c r="BH89" s="33"/>
      <c r="BI89" s="33"/>
      <c r="BJ89" s="33"/>
      <c r="BK89" s="33"/>
      <c r="BL89" s="89"/>
      <c r="BM89" s="89"/>
      <c r="BN89" s="89"/>
      <c r="BO89" s="89"/>
      <c r="BP89" s="89"/>
      <c r="BQ89" s="33"/>
      <c r="BR89" s="33"/>
      <c r="BS89" s="33"/>
      <c r="BT89" s="33"/>
      <c r="BU89" s="33"/>
      <c r="BV89" s="33"/>
      <c r="BW89" s="33"/>
      <c r="BX89" s="33"/>
      <c r="BY89" s="33"/>
      <c r="BZ89" s="33"/>
      <c r="CA89" s="33"/>
      <c r="CB89" s="33"/>
      <c r="CC89" s="33"/>
      <c r="CD89" s="33"/>
      <c r="CE89" s="33"/>
      <c r="CF89" s="34"/>
    </row>
    <row r="90" spans="2:88" ht="3" customHeight="1">
      <c r="B90" s="20"/>
      <c r="C90" s="48"/>
      <c r="D90" s="48"/>
      <c r="E90" s="48"/>
      <c r="F90" s="48"/>
      <c r="G90" s="48"/>
      <c r="H90" s="24"/>
      <c r="J90" s="31"/>
      <c r="K90" s="67" t="str">
        <f>IF('Расчет'!$C$106="","",15)</f>
        <v/>
      </c>
      <c r="L90" s="68" t="str">
        <f>'Расчет'!$C$106</f>
        <v/>
      </c>
      <c r="M90" s="68"/>
      <c r="N90" s="68"/>
      <c r="O90" s="68"/>
      <c r="P90" s="68"/>
      <c r="Q90" s="69" t="str">
        <f>IF('Расчет'!$C$106="","",IF('Расчет'!$D$106="","—",'Расчет'!$D$106))</f>
        <v/>
      </c>
      <c r="R90" s="69"/>
      <c r="S90" s="69"/>
      <c r="T90" s="69"/>
      <c r="U90" s="69"/>
      <c r="V90" s="69"/>
      <c r="W90" s="69"/>
      <c r="X90" s="69"/>
      <c r="Y90" s="70" t="str">
        <f>IF('Расчет'!$C$106="","",CHOOSE('Расчет'!$E$106+1,"●  НЕТ ДАННЫХ","●  НОРМА","●  ВНИМАНИЕ","●  РИСК","●  ПРЕВЫШЕНИЕ"))</f>
        <v/>
      </c>
      <c r="Z90" s="70"/>
      <c r="AA90" s="70"/>
      <c r="AB90" s="70"/>
      <c r="AC90" s="70"/>
      <c r="AD90" s="71" t="str">
        <f>IF('Расчет'!$C$106="","",CHOOSE('Расчет'!$E$106+1,"—",c_ZoneG,c_ZoneY,c_ZoneR,c_ZoneX))</f>
        <v/>
      </c>
      <c r="AE90" s="71"/>
      <c r="AF90" s="71"/>
      <c r="AG90" s="71"/>
      <c r="AH90" s="71"/>
      <c r="AI90" s="71"/>
      <c r="AJ90" s="71"/>
      <c r="AK90" s="71"/>
      <c r="AL90" s="71"/>
      <c r="AM90" s="72" t="str">
        <f>IF(OR('Расчет'!$C$106="",'Расчет'!$F$106=""),"",'Расчет'!$F$106)</f>
        <v/>
      </c>
      <c r="AN90" s="72"/>
      <c r="AO90" s="72"/>
      <c r="AP90" s="72"/>
      <c r="AQ90" s="72"/>
      <c r="AR90" s="73" t="str">
        <f>IF(OR('Расчет'!$C$106="",'Расчет'!$F$106=""),"",IF('Расчет'!$F$106&gt;0.00001,"↑",IF('Расчет'!$F$106&lt;-0.00001,"↓","—")))</f>
        <v/>
      </c>
      <c r="AS90" s="33"/>
      <c r="AT90" s="74"/>
      <c r="AU90" s="74"/>
      <c r="AV90" s="74"/>
      <c r="AW90" s="74"/>
      <c r="AX90" s="74"/>
      <c r="AY90" s="74"/>
      <c r="AZ90" s="74"/>
      <c r="BA90" s="74"/>
      <c r="BB90" s="34"/>
      <c r="BE90" s="31"/>
      <c r="BF90" s="33"/>
      <c r="BG90" s="33"/>
      <c r="BH90" s="33"/>
      <c r="BI90" s="33"/>
      <c r="BJ90" s="33"/>
      <c r="BK90" s="33"/>
      <c r="BL90" s="89"/>
      <c r="BM90" s="89"/>
      <c r="BN90" s="89"/>
      <c r="BO90" s="89"/>
      <c r="BP90" s="89"/>
      <c r="BQ90" s="33"/>
      <c r="BR90" s="33"/>
      <c r="BS90" s="33"/>
      <c r="BT90" s="33"/>
      <c r="BU90" s="33"/>
      <c r="BV90" s="33"/>
      <c r="BW90" s="33"/>
      <c r="BX90" s="33"/>
      <c r="BY90" s="33"/>
      <c r="BZ90" s="33"/>
      <c r="CA90" s="33"/>
      <c r="CB90" s="33"/>
      <c r="CC90" s="33"/>
      <c r="CD90" s="33"/>
      <c r="CE90" s="33"/>
      <c r="CF90" s="34"/>
      <c r="CI90">
        <f>'Расчет'!$E$106</f>
        <v>-1.0</v>
      </c>
      <c r="CJ90">
        <f>'Расчет'!$G$106</f>
        <v>0.0</v>
      </c>
    </row>
    <row r="91" spans="2:88" ht="12" customHeight="1">
      <c r="B91" s="20"/>
      <c r="C91" s="48"/>
      <c r="D91" s="48"/>
      <c r="E91" s="48"/>
      <c r="F91" s="48"/>
      <c r="G91" s="48"/>
      <c r="H91" s="24"/>
      <c r="J91" s="31"/>
      <c r="K91" s="67"/>
      <c r="L91" s="68"/>
      <c r="M91" s="68"/>
      <c r="N91" s="68"/>
      <c r="O91" s="68"/>
      <c r="P91" s="68"/>
      <c r="Q91" s="69"/>
      <c r="R91" s="69"/>
      <c r="S91" s="69"/>
      <c r="T91" s="69"/>
      <c r="U91" s="69"/>
      <c r="V91" s="69"/>
      <c r="W91" s="69"/>
      <c r="X91" s="69"/>
      <c r="Y91" s="70"/>
      <c r="Z91" s="70"/>
      <c r="AA91" s="70"/>
      <c r="AB91" s="70"/>
      <c r="AC91" s="70"/>
      <c r="AD91" s="71"/>
      <c r="AE91" s="71"/>
      <c r="AF91" s="71"/>
      <c r="AG91" s="71"/>
      <c r="AH91" s="71"/>
      <c r="AI91" s="71"/>
      <c r="AJ91" s="71"/>
      <c r="AK91" s="71"/>
      <c r="AL91" s="71"/>
      <c r="AM91" s="72"/>
      <c r="AN91" s="72"/>
      <c r="AO91" s="72"/>
      <c r="AP91" s="72"/>
      <c r="AQ91" s="72"/>
      <c r="AR91" s="73"/>
      <c r="AS91" s="33"/>
      <c r="AT91" s="74"/>
      <c r="AU91" s="74"/>
      <c r="AV91" s="74"/>
      <c r="AW91" s="74"/>
      <c r="AX91" s="74"/>
      <c r="AY91" s="74"/>
      <c r="AZ91" s="74"/>
      <c r="BA91" s="74"/>
      <c r="BB91" s="34"/>
      <c r="BE91" s="31"/>
      <c r="BF91" s="33"/>
      <c r="BG91" s="33"/>
      <c r="BH91" s="33"/>
      <c r="BI91" s="33"/>
      <c r="BJ91" s="33"/>
      <c r="BK91" s="33"/>
      <c r="BL91" s="91" t="s">
        <v>98</v>
      </c>
      <c r="BM91" s="91"/>
      <c r="BN91" s="91"/>
      <c r="BO91" s="91"/>
      <c r="BP91" s="91"/>
      <c r="BQ91" s="33"/>
      <c r="BR91" s="33"/>
      <c r="BS91" s="33"/>
      <c r="BT91" s="33"/>
      <c r="BU91" s="33"/>
      <c r="BV91" s="92" t="s">
        <v>99</v>
      </c>
      <c r="BW91" s="87" t="s">
        <v>19</v>
      </c>
      <c r="BX91" s="87"/>
      <c r="BY91" s="87"/>
      <c r="BZ91" s="87"/>
      <c r="CA91" s="88" t="str">
        <f>c_LegR</f>
        <v>0 (0%)</v>
      </c>
      <c r="CB91" s="88"/>
      <c r="CC91" s="88"/>
      <c r="CD91" s="33"/>
      <c r="CE91" s="33"/>
      <c r="CF91" s="34"/>
    </row>
    <row r="92" spans="2:88" ht="4.5" customHeight="1">
      <c r="B92" s="20"/>
      <c r="C92" s="48"/>
      <c r="D92" s="48"/>
      <c r="E92" s="48"/>
      <c r="F92" s="48"/>
      <c r="G92" s="48"/>
      <c r="H92" s="24"/>
      <c r="J92" s="31"/>
      <c r="K92" s="67"/>
      <c r="L92" s="68"/>
      <c r="M92" s="68"/>
      <c r="N92" s="68"/>
      <c r="O92" s="68"/>
      <c r="P92" s="68"/>
      <c r="Q92" s="69"/>
      <c r="R92" s="69"/>
      <c r="S92" s="69"/>
      <c r="T92" s="69"/>
      <c r="U92" s="69"/>
      <c r="V92" s="69"/>
      <c r="W92" s="69"/>
      <c r="X92" s="69"/>
      <c r="Y92" s="70"/>
      <c r="Z92" s="70"/>
      <c r="AA92" s="70"/>
      <c r="AB92" s="70"/>
      <c r="AC92" s="70"/>
      <c r="AD92" s="71"/>
      <c r="AE92" s="71"/>
      <c r="AF92" s="71"/>
      <c r="AG92" s="71"/>
      <c r="AH92" s="71"/>
      <c r="AI92" s="71"/>
      <c r="AJ92" s="71"/>
      <c r="AK92" s="71"/>
      <c r="AL92" s="71"/>
      <c r="AM92" s="72"/>
      <c r="AN92" s="72"/>
      <c r="AO92" s="72"/>
      <c r="AP92" s="72"/>
      <c r="AQ92" s="72"/>
      <c r="AR92" s="73"/>
      <c r="AS92" s="76"/>
      <c r="AT92" s="74"/>
      <c r="AU92" s="74"/>
      <c r="AV92" s="74"/>
      <c r="AW92" s="74"/>
      <c r="AX92" s="74"/>
      <c r="AY92" s="74"/>
      <c r="AZ92" s="74"/>
      <c r="BA92" s="74"/>
      <c r="BB92" s="34"/>
      <c r="BE92" s="31"/>
      <c r="BF92" s="33"/>
      <c r="BG92" s="33"/>
      <c r="BH92" s="33"/>
      <c r="BI92" s="33"/>
      <c r="BJ92" s="33"/>
      <c r="BK92" s="33"/>
      <c r="BL92" s="33"/>
      <c r="BM92" s="33"/>
      <c r="BN92" s="33"/>
      <c r="BO92" s="33"/>
      <c r="BP92" s="33"/>
      <c r="BQ92" s="33"/>
      <c r="BR92" s="33"/>
      <c r="BS92" s="33"/>
      <c r="BT92" s="33"/>
      <c r="BU92" s="33"/>
      <c r="BV92" s="92"/>
      <c r="BW92" s="87"/>
      <c r="BX92" s="87"/>
      <c r="BY92" s="87"/>
      <c r="BZ92" s="87"/>
      <c r="CA92" s="88"/>
      <c r="CB92" s="88"/>
      <c r="CC92" s="88"/>
      <c r="CD92" s="33"/>
      <c r="CE92" s="33"/>
      <c r="CF92" s="34"/>
    </row>
    <row r="93" spans="2:88" ht="1.5" customHeight="1">
      <c r="B93" s="20"/>
      <c r="C93" s="48"/>
      <c r="D93" s="48"/>
      <c r="E93" s="48"/>
      <c r="F93" s="48"/>
      <c r="G93" s="48"/>
      <c r="H93" s="24"/>
      <c r="J93" s="31"/>
      <c r="K93" s="67" t="str">
        <f>IF('Расчет'!$C$107="","",16)</f>
        <v/>
      </c>
      <c r="L93" s="68" t="str">
        <f>'Расчет'!$C$107</f>
        <v/>
      </c>
      <c r="M93" s="68"/>
      <c r="N93" s="68"/>
      <c r="O93" s="68"/>
      <c r="P93" s="68"/>
      <c r="Q93" s="69" t="str">
        <f>IF('Расчет'!$C$107="","",IF('Расчет'!$D$107="","—",'Расчет'!$D$107))</f>
        <v/>
      </c>
      <c r="R93" s="69"/>
      <c r="S93" s="69"/>
      <c r="T93" s="69"/>
      <c r="U93" s="69"/>
      <c r="V93" s="69"/>
      <c r="W93" s="69"/>
      <c r="X93" s="69"/>
      <c r="Y93" s="70" t="str">
        <f>IF('Расчет'!$C$107="","",CHOOSE('Расчет'!$E$107+1,"●  НЕТ ДАННЫХ","●  НОРМА","●  ВНИМАНИЕ","●  РИСК","●  ПРЕВЫШЕНИЕ"))</f>
        <v/>
      </c>
      <c r="Z93" s="70"/>
      <c r="AA93" s="70"/>
      <c r="AB93" s="70"/>
      <c r="AC93" s="70"/>
      <c r="AD93" s="71" t="str">
        <f>IF('Расчет'!$C$107="","",CHOOSE('Расчет'!$E$107+1,"—",c_ZoneG,c_ZoneY,c_ZoneR,c_ZoneX))</f>
        <v/>
      </c>
      <c r="AE93" s="71"/>
      <c r="AF93" s="71"/>
      <c r="AG93" s="71"/>
      <c r="AH93" s="71"/>
      <c r="AI93" s="71"/>
      <c r="AJ93" s="71"/>
      <c r="AK93" s="71"/>
      <c r="AL93" s="71"/>
      <c r="AM93" s="72" t="str">
        <f>IF(OR('Расчет'!$C$107="",'Расчет'!$F$107=""),"",'Расчет'!$F$107)</f>
        <v/>
      </c>
      <c r="AN93" s="72"/>
      <c r="AO93" s="72"/>
      <c r="AP93" s="72"/>
      <c r="AQ93" s="72"/>
      <c r="AR93" s="73" t="str">
        <f>IF(OR('Расчет'!$C$107="",'Расчет'!$F$107=""),"",IF('Расчет'!$F$107&gt;0.00001,"↑",IF('Расчет'!$F$107&lt;-0.00001,"↓","—")))</f>
        <v/>
      </c>
      <c r="AS93" s="33"/>
      <c r="AT93" s="74"/>
      <c r="AU93" s="74"/>
      <c r="AV93" s="74"/>
      <c r="AW93" s="74"/>
      <c r="AX93" s="74"/>
      <c r="AY93" s="74"/>
      <c r="AZ93" s="74"/>
      <c r="BA93" s="74"/>
      <c r="BB93" s="34"/>
      <c r="BE93" s="31"/>
      <c r="BF93" s="33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33"/>
      <c r="BT93" s="33"/>
      <c r="BU93" s="33"/>
      <c r="BV93" s="92"/>
      <c r="BW93" s="87"/>
      <c r="BX93" s="87"/>
      <c r="BY93" s="87"/>
      <c r="BZ93" s="87"/>
      <c r="CA93" s="88"/>
      <c r="CB93" s="88"/>
      <c r="CC93" s="88"/>
      <c r="CD93" s="33"/>
      <c r="CE93" s="33"/>
      <c r="CF93" s="34"/>
      <c r="CI93">
        <f>'Расчет'!$E$107</f>
        <v>-1.0</v>
      </c>
      <c r="CJ93">
        <f>'Расчет'!$G$107</f>
        <v>0.0</v>
      </c>
    </row>
    <row r="94" spans="2:88" ht="18" customHeight="1">
      <c r="B94" s="20"/>
      <c r="C94" s="48"/>
      <c r="D94" s="48"/>
      <c r="E94" s="48"/>
      <c r="F94" s="48"/>
      <c r="G94" s="48"/>
      <c r="H94" s="24"/>
      <c r="J94" s="31"/>
      <c r="K94" s="67"/>
      <c r="L94" s="68"/>
      <c r="M94" s="68"/>
      <c r="N94" s="68"/>
      <c r="O94" s="68"/>
      <c r="P94" s="68"/>
      <c r="Q94" s="69"/>
      <c r="R94" s="69"/>
      <c r="S94" s="69"/>
      <c r="T94" s="69"/>
      <c r="U94" s="69"/>
      <c r="V94" s="69"/>
      <c r="W94" s="69"/>
      <c r="X94" s="69"/>
      <c r="Y94" s="70"/>
      <c r="Z94" s="70"/>
      <c r="AA94" s="70"/>
      <c r="AB94" s="70"/>
      <c r="AC94" s="70"/>
      <c r="AD94" s="71"/>
      <c r="AE94" s="71"/>
      <c r="AF94" s="71"/>
      <c r="AG94" s="71"/>
      <c r="AH94" s="71"/>
      <c r="AI94" s="71"/>
      <c r="AJ94" s="71"/>
      <c r="AK94" s="71"/>
      <c r="AL94" s="71"/>
      <c r="AM94" s="72"/>
      <c r="AN94" s="72"/>
      <c r="AO94" s="72"/>
      <c r="AP94" s="72"/>
      <c r="AQ94" s="72"/>
      <c r="AR94" s="73"/>
      <c r="AS94" s="76"/>
      <c r="AT94" s="74"/>
      <c r="AU94" s="74"/>
      <c r="AV94" s="74"/>
      <c r="AW94" s="74"/>
      <c r="AX94" s="74"/>
      <c r="AY94" s="74"/>
      <c r="AZ94" s="74"/>
      <c r="BA94" s="74"/>
      <c r="BB94" s="34"/>
      <c r="BE94" s="31"/>
      <c r="BF94" s="33"/>
      <c r="BG94" s="33"/>
      <c r="BH94" s="33"/>
      <c r="BI94" s="33"/>
      <c r="BJ94" s="33"/>
      <c r="BK94" s="33"/>
      <c r="BL94" s="33"/>
      <c r="BM94" s="33"/>
      <c r="BN94" s="33"/>
      <c r="BO94" s="33"/>
      <c r="BP94" s="33"/>
      <c r="BQ94" s="33"/>
      <c r="BR94" s="33"/>
      <c r="BS94" s="33"/>
      <c r="BT94" s="33"/>
      <c r="BU94" s="33"/>
      <c r="BV94" s="33"/>
      <c r="BW94" s="33"/>
      <c r="BX94" s="33"/>
      <c r="BY94" s="33"/>
      <c r="BZ94" s="33"/>
      <c r="CA94" s="33"/>
      <c r="CB94" s="33"/>
      <c r="CC94" s="33"/>
      <c r="CD94" s="33"/>
      <c r="CE94" s="33"/>
      <c r="CF94" s="34"/>
    </row>
    <row r="95" spans="2:88" ht="16.5" customHeight="1">
      <c r="B95" s="20"/>
      <c r="C95" s="48"/>
      <c r="D95" s="48"/>
      <c r="E95" s="48"/>
      <c r="F95" s="48"/>
      <c r="G95" s="48"/>
      <c r="H95" s="24"/>
      <c r="J95" s="31"/>
      <c r="K95" s="67" t="str">
        <f>IF('Расчет'!$C$108="","",17)</f>
        <v/>
      </c>
      <c r="L95" s="68" t="str">
        <f>'Расчет'!$C$108</f>
        <v/>
      </c>
      <c r="M95" s="68"/>
      <c r="N95" s="68"/>
      <c r="O95" s="68"/>
      <c r="P95" s="68"/>
      <c r="Q95" s="69" t="str">
        <f>IF('Расчет'!$C$108="","",IF('Расчет'!$D$108="","—",'Расчет'!$D$108))</f>
        <v/>
      </c>
      <c r="R95" s="69"/>
      <c r="S95" s="69"/>
      <c r="T95" s="69"/>
      <c r="U95" s="69"/>
      <c r="V95" s="69"/>
      <c r="W95" s="69"/>
      <c r="X95" s="69"/>
      <c r="Y95" s="70" t="str">
        <f>IF('Расчет'!$C$108="","",CHOOSE('Расчет'!$E$108+1,"●  НЕТ ДАННЫХ","●  НОРМА","●  ВНИМАНИЕ","●  РИСК","●  ПРЕВЫШЕНИЕ"))</f>
        <v/>
      </c>
      <c r="Z95" s="70"/>
      <c r="AA95" s="70"/>
      <c r="AB95" s="70"/>
      <c r="AC95" s="70"/>
      <c r="AD95" s="71" t="str">
        <f>IF('Расчет'!$C$108="","",CHOOSE('Расчет'!$E$108+1,"—",c_ZoneG,c_ZoneY,c_ZoneR,c_ZoneX))</f>
        <v/>
      </c>
      <c r="AE95" s="71"/>
      <c r="AF95" s="71"/>
      <c r="AG95" s="71"/>
      <c r="AH95" s="71"/>
      <c r="AI95" s="71"/>
      <c r="AJ95" s="71"/>
      <c r="AK95" s="71"/>
      <c r="AL95" s="71"/>
      <c r="AM95" s="72" t="str">
        <f>IF(OR('Расчет'!$C$108="",'Расчет'!$F$108=""),"",'Расчет'!$F$108)</f>
        <v/>
      </c>
      <c r="AN95" s="72"/>
      <c r="AO95" s="72"/>
      <c r="AP95" s="72"/>
      <c r="AQ95" s="72"/>
      <c r="AR95" s="73" t="str">
        <f>IF(OR('Расчет'!$C$108="",'Расчет'!$F$108=""),"",IF('Расчет'!$F$108&gt;0.00001,"↑",IF('Расчет'!$F$108&lt;-0.00001,"↓","—")))</f>
        <v/>
      </c>
      <c r="AS95" s="33"/>
      <c r="AT95" s="74"/>
      <c r="AU95" s="74"/>
      <c r="AV95" s="74"/>
      <c r="AW95" s="74"/>
      <c r="AX95" s="74"/>
      <c r="AY95" s="74"/>
      <c r="AZ95" s="74"/>
      <c r="BA95" s="74"/>
      <c r="BB95" s="34"/>
      <c r="BE95" s="56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7"/>
      <c r="CC95" s="57"/>
      <c r="CD95" s="57"/>
      <c r="CE95" s="57"/>
      <c r="CF95" s="58"/>
      <c r="CI95">
        <f>'Расчет'!$E$108</f>
        <v>-1.0</v>
      </c>
      <c r="CJ95">
        <f>'Расчет'!$G$108</f>
        <v>0.0</v>
      </c>
    </row>
    <row r="96" spans="2:88" ht="3" customHeight="1">
      <c r="B96" s="20"/>
      <c r="C96" s="48"/>
      <c r="D96" s="48"/>
      <c r="E96" s="48"/>
      <c r="F96" s="48"/>
      <c r="G96" s="48"/>
      <c r="H96" s="24"/>
      <c r="J96" s="31"/>
      <c r="K96" s="67"/>
      <c r="L96" s="68"/>
      <c r="M96" s="68"/>
      <c r="N96" s="68"/>
      <c r="O96" s="68"/>
      <c r="P96" s="68"/>
      <c r="Q96" s="69"/>
      <c r="R96" s="69"/>
      <c r="S96" s="69"/>
      <c r="T96" s="69"/>
      <c r="U96" s="69"/>
      <c r="V96" s="69"/>
      <c r="W96" s="69"/>
      <c r="X96" s="69"/>
      <c r="Y96" s="70"/>
      <c r="Z96" s="70"/>
      <c r="AA96" s="70"/>
      <c r="AB96" s="70"/>
      <c r="AC96" s="70"/>
      <c r="AD96" s="71"/>
      <c r="AE96" s="71"/>
      <c r="AF96" s="71"/>
      <c r="AG96" s="71"/>
      <c r="AH96" s="71"/>
      <c r="AI96" s="71"/>
      <c r="AJ96" s="71"/>
      <c r="AK96" s="71"/>
      <c r="AL96" s="71"/>
      <c r="AM96" s="72"/>
      <c r="AN96" s="72"/>
      <c r="AO96" s="72"/>
      <c r="AP96" s="72"/>
      <c r="AQ96" s="72"/>
      <c r="AR96" s="73"/>
      <c r="AS96" s="76"/>
      <c r="AT96" s="74"/>
      <c r="AU96" s="74"/>
      <c r="AV96" s="74"/>
      <c r="AW96" s="74"/>
      <c r="AX96" s="74"/>
      <c r="AY96" s="74"/>
      <c r="AZ96" s="74"/>
      <c r="BA96" s="74"/>
      <c r="BB96" s="34"/>
    </row>
    <row r="97" spans="1:88" ht="6" customHeight="1">
      <c r="B97" s="20"/>
      <c r="C97" s="48"/>
      <c r="D97" s="48"/>
      <c r="E97" s="48"/>
      <c r="F97" s="48"/>
      <c r="G97" s="48"/>
      <c r="H97" s="24"/>
      <c r="J97" s="31"/>
      <c r="K97" s="67" t="str">
        <f>IF('Расчет'!$C$109="","",18)</f>
        <v/>
      </c>
      <c r="L97" s="68" t="str">
        <f>'Расчет'!$C$109</f>
        <v/>
      </c>
      <c r="M97" s="68"/>
      <c r="N97" s="68"/>
      <c r="O97" s="68"/>
      <c r="P97" s="68"/>
      <c r="Q97" s="69" t="str">
        <f>IF('Расчет'!$C$109="","",IF('Расчет'!$D$109="","—",'Расчет'!$D$109))</f>
        <v/>
      </c>
      <c r="R97" s="69"/>
      <c r="S97" s="69"/>
      <c r="T97" s="69"/>
      <c r="U97" s="69"/>
      <c r="V97" s="69"/>
      <c r="W97" s="69"/>
      <c r="X97" s="69"/>
      <c r="Y97" s="70" t="str">
        <f>IF('Расчет'!$C$109="","",CHOOSE('Расчет'!$E$109+1,"●  НЕТ ДАННЫХ","●  НОРМА","●  ВНИМАНИЕ","●  РИСК","●  ПРЕВЫШЕНИЕ"))</f>
        <v/>
      </c>
      <c r="Z97" s="70"/>
      <c r="AA97" s="70"/>
      <c r="AB97" s="70"/>
      <c r="AC97" s="70"/>
      <c r="AD97" s="71" t="str">
        <f>IF('Расчет'!$C$109="","",CHOOSE('Расчет'!$E$109+1,"—",c_ZoneG,c_ZoneY,c_ZoneR,c_ZoneX))</f>
        <v/>
      </c>
      <c r="AE97" s="71"/>
      <c r="AF97" s="71"/>
      <c r="AG97" s="71"/>
      <c r="AH97" s="71"/>
      <c r="AI97" s="71"/>
      <c r="AJ97" s="71"/>
      <c r="AK97" s="71"/>
      <c r="AL97" s="71"/>
      <c r="AM97" s="72" t="str">
        <f>IF(OR('Расчет'!$C$109="",'Расчет'!$F$109=""),"",'Расчет'!$F$109)</f>
        <v/>
      </c>
      <c r="AN97" s="72"/>
      <c r="AO97" s="72"/>
      <c r="AP97" s="72"/>
      <c r="AQ97" s="72"/>
      <c r="AR97" s="73" t="str">
        <f>IF(OR('Расчет'!$C$109="",'Расчет'!$F$109=""),"",IF('Расчет'!$F$109&gt;0.00001,"↑",IF('Расчет'!$F$109&lt;-0.00001,"↓","—")))</f>
        <v/>
      </c>
      <c r="AS97" s="33"/>
      <c r="AT97" s="74"/>
      <c r="AU97" s="74"/>
      <c r="AV97" s="74"/>
      <c r="AW97" s="74"/>
      <c r="AX97" s="74"/>
      <c r="AY97" s="74"/>
      <c r="AZ97" s="74"/>
      <c r="BA97" s="74"/>
      <c r="BB97" s="34"/>
      <c r="CI97">
        <f>'Расчет'!$E$109</f>
        <v>-1.0</v>
      </c>
      <c r="CJ97">
        <f>'Расчет'!$G$109</f>
        <v>0.0</v>
      </c>
    </row>
    <row r="98" spans="1:88" ht="13.5" customHeight="1">
      <c r="B98" s="20"/>
      <c r="C98" s="48"/>
      <c r="D98" s="48"/>
      <c r="E98" s="48"/>
      <c r="F98" s="48"/>
      <c r="G98" s="48"/>
      <c r="H98" s="24"/>
      <c r="J98" s="31"/>
      <c r="K98" s="67"/>
      <c r="L98" s="68"/>
      <c r="M98" s="68"/>
      <c r="N98" s="68"/>
      <c r="O98" s="68"/>
      <c r="P98" s="68"/>
      <c r="Q98" s="69"/>
      <c r="R98" s="69"/>
      <c r="S98" s="69"/>
      <c r="T98" s="69"/>
      <c r="U98" s="69"/>
      <c r="V98" s="69"/>
      <c r="W98" s="69"/>
      <c r="X98" s="69"/>
      <c r="Y98" s="70"/>
      <c r="Z98" s="70"/>
      <c r="AA98" s="70"/>
      <c r="AB98" s="70"/>
      <c r="AC98" s="70"/>
      <c r="AD98" s="71"/>
      <c r="AE98" s="71"/>
      <c r="AF98" s="71"/>
      <c r="AG98" s="71"/>
      <c r="AH98" s="71"/>
      <c r="AI98" s="71"/>
      <c r="AJ98" s="71"/>
      <c r="AK98" s="71"/>
      <c r="AL98" s="71"/>
      <c r="AM98" s="72"/>
      <c r="AN98" s="72"/>
      <c r="AO98" s="72"/>
      <c r="AP98" s="72"/>
      <c r="AQ98" s="72"/>
      <c r="AR98" s="73"/>
      <c r="AS98" s="76"/>
      <c r="AT98" s="74"/>
      <c r="AU98" s="74"/>
      <c r="AV98" s="74"/>
      <c r="AW98" s="74"/>
      <c r="AX98" s="74"/>
      <c r="AY98" s="74"/>
      <c r="AZ98" s="74"/>
      <c r="BA98" s="74"/>
      <c r="BB98" s="34"/>
      <c r="BE98" s="28"/>
      <c r="BF98" s="29"/>
      <c r="BG98" s="29"/>
      <c r="BH98" s="29"/>
      <c r="BI98" s="60" t="s">
        <v>100</v>
      </c>
      <c r="BJ98" s="60"/>
      <c r="BK98" s="60"/>
      <c r="BL98" s="60"/>
      <c r="BM98" s="60"/>
      <c r="BN98" s="60"/>
      <c r="BO98" s="60"/>
      <c r="BP98" s="60"/>
      <c r="BQ98" s="60"/>
      <c r="BR98" s="60"/>
      <c r="BS98" s="60"/>
      <c r="BT98" s="60"/>
      <c r="BU98" s="60"/>
      <c r="BV98" s="60"/>
      <c r="BW98" s="60"/>
      <c r="BX98" s="60"/>
      <c r="BY98" s="60"/>
      <c r="BZ98" s="60"/>
      <c r="CA98" s="60"/>
      <c r="CB98" s="60"/>
      <c r="CC98" s="60"/>
      <c r="CD98" s="60"/>
      <c r="CE98" s="29"/>
      <c r="CF98" s="30"/>
    </row>
    <row r="99" spans="1:88" ht="9" customHeight="1">
      <c r="B99" s="20"/>
      <c r="C99" s="48"/>
      <c r="D99" s="48"/>
      <c r="E99" s="48"/>
      <c r="F99" s="48"/>
      <c r="G99" s="48"/>
      <c r="H99" s="24"/>
      <c r="J99" s="31"/>
      <c r="K99" s="67" t="str">
        <f>IF('Расчет'!$C$110="","",19)</f>
        <v/>
      </c>
      <c r="L99" s="68" t="str">
        <f>'Расчет'!$C$110</f>
        <v/>
      </c>
      <c r="M99" s="68"/>
      <c r="N99" s="68"/>
      <c r="O99" s="68"/>
      <c r="P99" s="68"/>
      <c r="Q99" s="69" t="str">
        <f>IF('Расчет'!$C$110="","",IF('Расчет'!$D$110="","—",'Расчет'!$D$110))</f>
        <v/>
      </c>
      <c r="R99" s="69"/>
      <c r="S99" s="69"/>
      <c r="T99" s="69"/>
      <c r="U99" s="69"/>
      <c r="V99" s="69"/>
      <c r="W99" s="69"/>
      <c r="X99" s="69"/>
      <c r="Y99" s="70" t="str">
        <f>IF('Расчет'!$C$110="","",CHOOSE('Расчет'!$E$110+1,"●  НЕТ ДАННЫХ","●  НОРМА","●  ВНИМАНИЕ","●  РИСК","●  ПРЕВЫШЕНИЕ"))</f>
        <v/>
      </c>
      <c r="Z99" s="70"/>
      <c r="AA99" s="70"/>
      <c r="AB99" s="70"/>
      <c r="AC99" s="70"/>
      <c r="AD99" s="71" t="str">
        <f>IF('Расчет'!$C$110="","",CHOOSE('Расчет'!$E$110+1,"—",c_ZoneG,c_ZoneY,c_ZoneR,c_ZoneX))</f>
        <v/>
      </c>
      <c r="AE99" s="71"/>
      <c r="AF99" s="71"/>
      <c r="AG99" s="71"/>
      <c r="AH99" s="71"/>
      <c r="AI99" s="71"/>
      <c r="AJ99" s="71"/>
      <c r="AK99" s="71"/>
      <c r="AL99" s="71"/>
      <c r="AM99" s="72" t="str">
        <f>IF(OR('Расчет'!$C$110="",'Расчет'!$F$110=""),"",'Расчет'!$F$110)</f>
        <v/>
      </c>
      <c r="AN99" s="72"/>
      <c r="AO99" s="72"/>
      <c r="AP99" s="72"/>
      <c r="AQ99" s="72"/>
      <c r="AR99" s="73" t="str">
        <f>IF(OR('Расчет'!$C$110="",'Расчет'!$F$110=""),"",IF('Расчет'!$F$110&gt;0.00001,"↑",IF('Расчет'!$F$110&lt;-0.00001,"↓","—")))</f>
        <v/>
      </c>
      <c r="AS99" s="33"/>
      <c r="AT99" s="74"/>
      <c r="AU99" s="74"/>
      <c r="AV99" s="74"/>
      <c r="AW99" s="74"/>
      <c r="AX99" s="74"/>
      <c r="AY99" s="74"/>
      <c r="AZ99" s="74"/>
      <c r="BA99" s="74"/>
      <c r="BB99" s="34"/>
      <c r="BE99" s="31"/>
      <c r="BF99" s="33"/>
      <c r="BG99" s="33"/>
      <c r="BH99" s="33"/>
      <c r="BI99" s="60"/>
      <c r="BJ99" s="60"/>
      <c r="BK99" s="60"/>
      <c r="BL99" s="60"/>
      <c r="BM99" s="60"/>
      <c r="BN99" s="60"/>
      <c r="BO99" s="60"/>
      <c r="BP99" s="60"/>
      <c r="BQ99" s="60"/>
      <c r="BR99" s="60"/>
      <c r="BS99" s="60"/>
      <c r="BT99" s="60"/>
      <c r="BU99" s="60"/>
      <c r="BV99" s="60"/>
      <c r="BW99" s="60"/>
      <c r="BX99" s="60"/>
      <c r="BY99" s="60"/>
      <c r="BZ99" s="60"/>
      <c r="CA99" s="60"/>
      <c r="CB99" s="60"/>
      <c r="CC99" s="60"/>
      <c r="CD99" s="60"/>
      <c r="CE99" s="33"/>
      <c r="CF99" s="34"/>
      <c r="CI99">
        <f>'Расчет'!$E$110</f>
        <v>-1.0</v>
      </c>
      <c r="CJ99">
        <f>'Расчет'!$G$110</f>
        <v>0.0</v>
      </c>
    </row>
    <row r="100" spans="1:88" ht="10.5" customHeight="1">
      <c r="B100" s="20"/>
      <c r="C100" s="48"/>
      <c r="D100" s="48"/>
      <c r="E100" s="48"/>
      <c r="F100" s="48"/>
      <c r="G100" s="48"/>
      <c r="H100" s="24"/>
      <c r="J100" s="31"/>
      <c r="K100" s="67"/>
      <c r="L100" s="68"/>
      <c r="M100" s="68"/>
      <c r="N100" s="68"/>
      <c r="O100" s="68"/>
      <c r="P100" s="68"/>
      <c r="Q100" s="69"/>
      <c r="R100" s="69"/>
      <c r="S100" s="69"/>
      <c r="T100" s="69"/>
      <c r="U100" s="69"/>
      <c r="V100" s="69"/>
      <c r="W100" s="69"/>
      <c r="X100" s="69"/>
      <c r="Y100" s="70"/>
      <c r="Z100" s="70"/>
      <c r="AA100" s="70"/>
      <c r="AB100" s="70"/>
      <c r="AC100" s="70"/>
      <c r="AD100" s="71"/>
      <c r="AE100" s="71"/>
      <c r="AF100" s="71"/>
      <c r="AG100" s="71"/>
      <c r="AH100" s="71"/>
      <c r="AI100" s="71"/>
      <c r="AJ100" s="71"/>
      <c r="AK100" s="71"/>
      <c r="AL100" s="71"/>
      <c r="AM100" s="72"/>
      <c r="AN100" s="72"/>
      <c r="AO100" s="72"/>
      <c r="AP100" s="72"/>
      <c r="AQ100" s="72"/>
      <c r="AR100" s="73"/>
      <c r="AS100" s="76"/>
      <c r="AT100" s="74"/>
      <c r="AU100" s="74"/>
      <c r="AV100" s="74"/>
      <c r="AW100" s="74"/>
      <c r="AX100" s="74"/>
      <c r="AY100" s="74"/>
      <c r="AZ100" s="74"/>
      <c r="BA100" s="74"/>
      <c r="BB100" s="34"/>
      <c r="BE100" s="31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  <c r="CC100" s="33"/>
      <c r="CD100" s="33"/>
      <c r="CE100" s="33"/>
      <c r="CF100" s="34"/>
    </row>
    <row r="101" spans="1:88" ht="19.5" customHeight="1">
      <c r="B101" s="20"/>
      <c r="C101" s="48"/>
      <c r="D101" s="48"/>
      <c r="E101" s="48"/>
      <c r="F101" s="48"/>
      <c r="G101" s="48"/>
      <c r="H101" s="24"/>
      <c r="J101" s="31"/>
      <c r="K101" s="67" t="str">
        <f>IF('Расчет'!$C$111="","",20)</f>
        <v/>
      </c>
      <c r="L101" s="68" t="str">
        <f>'Расчет'!$C$111</f>
        <v/>
      </c>
      <c r="M101" s="68"/>
      <c r="N101" s="68"/>
      <c r="O101" s="68"/>
      <c r="P101" s="68"/>
      <c r="Q101" s="69" t="str">
        <f>IF('Расчет'!$C$111="","",IF('Расчет'!$D$111="","—",'Расчет'!$D$111))</f>
        <v/>
      </c>
      <c r="R101" s="69"/>
      <c r="S101" s="69"/>
      <c r="T101" s="69"/>
      <c r="U101" s="69"/>
      <c r="V101" s="69"/>
      <c r="W101" s="69"/>
      <c r="X101" s="69"/>
      <c r="Y101" s="70" t="str">
        <f>IF('Расчет'!$C$111="","",CHOOSE('Расчет'!$E$111+1,"●  НЕТ ДАННЫХ","●  НОРМА","●  ВНИМАНИЕ","●  РИСК","●  ПРЕВЫШЕНИЕ"))</f>
        <v/>
      </c>
      <c r="Z101" s="70"/>
      <c r="AA101" s="70"/>
      <c r="AB101" s="70"/>
      <c r="AC101" s="70"/>
      <c r="AD101" s="71" t="str">
        <f>IF('Расчет'!$C$111="","",CHOOSE('Расчет'!$E$111+1,"—",c_ZoneG,c_ZoneY,c_ZoneR,c_ZoneX))</f>
        <v/>
      </c>
      <c r="AE101" s="71"/>
      <c r="AF101" s="71"/>
      <c r="AG101" s="71"/>
      <c r="AH101" s="71"/>
      <c r="AI101" s="71"/>
      <c r="AJ101" s="71"/>
      <c r="AK101" s="71"/>
      <c r="AL101" s="71"/>
      <c r="AM101" s="72" t="str">
        <f>IF(OR('Расчет'!$C$111="",'Расчет'!$F$111=""),"",'Расчет'!$F$111)</f>
        <v/>
      </c>
      <c r="AN101" s="72"/>
      <c r="AO101" s="72"/>
      <c r="AP101" s="72"/>
      <c r="AQ101" s="72"/>
      <c r="AR101" s="73" t="str">
        <f>IF(OR('Расчет'!$C$111="",'Расчет'!$F$111=""),"",IF('Расчет'!$F$111&gt;0.00001,"↑",IF('Расчет'!$F$111&lt;-0.00001,"↓","—")))</f>
        <v/>
      </c>
      <c r="AS101" s="76"/>
      <c r="AT101" s="74"/>
      <c r="AU101" s="74"/>
      <c r="AV101" s="74"/>
      <c r="AW101" s="74"/>
      <c r="AX101" s="74"/>
      <c r="AY101" s="74"/>
      <c r="AZ101" s="74"/>
      <c r="BA101" s="74"/>
      <c r="BB101" s="34"/>
      <c r="BE101" s="31"/>
      <c r="BF101" s="33"/>
      <c r="BG101" s="33"/>
      <c r="BH101" s="33"/>
      <c r="BI101" s="33"/>
      <c r="BJ101" s="33"/>
      <c r="BK101" s="33"/>
      <c r="BL101" s="33"/>
      <c r="BM101" s="33"/>
      <c r="BN101" s="33"/>
      <c r="BO101" s="33"/>
      <c r="BP101" s="33"/>
      <c r="BQ101" s="33"/>
      <c r="BR101" s="33"/>
      <c r="BS101" s="33"/>
      <c r="BT101" s="33"/>
      <c r="BU101" s="33"/>
      <c r="BV101" s="33"/>
      <c r="BW101" s="33"/>
      <c r="BX101" s="33"/>
      <c r="BY101" s="33"/>
      <c r="BZ101" s="33"/>
      <c r="CA101" s="33"/>
      <c r="CB101" s="33"/>
      <c r="CC101" s="33"/>
      <c r="CD101" s="33"/>
      <c r="CE101" s="33"/>
      <c r="CF101" s="34"/>
      <c r="CI101">
        <f>'Расчет'!$E$111</f>
        <v>-1.0</v>
      </c>
      <c r="CJ101">
        <f>'Расчет'!$G$111</f>
        <v>0.0</v>
      </c>
    </row>
    <row r="102" spans="1:88" ht="19.5" customHeight="1">
      <c r="B102" s="20"/>
      <c r="C102" s="48"/>
      <c r="D102" s="48"/>
      <c r="E102" s="48"/>
      <c r="F102" s="48"/>
      <c r="G102" s="48"/>
      <c r="H102" s="24"/>
      <c r="J102" s="31"/>
      <c r="K102" s="67" t="str">
        <f>IF('Расчет'!$C$112="","",21)</f>
        <v/>
      </c>
      <c r="L102" s="68" t="str">
        <f>'Расчет'!$C$112</f>
        <v/>
      </c>
      <c r="M102" s="68"/>
      <c r="N102" s="68"/>
      <c r="O102" s="68"/>
      <c r="P102" s="68"/>
      <c r="Q102" s="69" t="str">
        <f>IF('Расчет'!$C$112="","",IF('Расчет'!$D$112="","—",'Расчет'!$D$112))</f>
        <v/>
      </c>
      <c r="R102" s="69"/>
      <c r="S102" s="69"/>
      <c r="T102" s="69"/>
      <c r="U102" s="69"/>
      <c r="V102" s="69"/>
      <c r="W102" s="69"/>
      <c r="X102" s="69"/>
      <c r="Y102" s="70" t="str">
        <f>IF('Расчет'!$C$112="","",CHOOSE('Расчет'!$E$112+1,"●  НЕТ ДАННЫХ","●  НОРМА","●  ВНИМАНИЕ","●  РИСК","●  ПРЕВЫШЕНИЕ"))</f>
        <v/>
      </c>
      <c r="Z102" s="70"/>
      <c r="AA102" s="70"/>
      <c r="AB102" s="70"/>
      <c r="AC102" s="70"/>
      <c r="AD102" s="71" t="str">
        <f>IF('Расчет'!$C$112="","",CHOOSE('Расчет'!$E$112+1,"—",c_ZoneG,c_ZoneY,c_ZoneR,c_ZoneX))</f>
        <v/>
      </c>
      <c r="AE102" s="71"/>
      <c r="AF102" s="71"/>
      <c r="AG102" s="71"/>
      <c r="AH102" s="71"/>
      <c r="AI102" s="71"/>
      <c r="AJ102" s="71"/>
      <c r="AK102" s="71"/>
      <c r="AL102" s="71"/>
      <c r="AM102" s="72" t="str">
        <f>IF(OR('Расчет'!$C$112="",'Расчет'!$F$112=""),"",'Расчет'!$F$112)</f>
        <v/>
      </c>
      <c r="AN102" s="72"/>
      <c r="AO102" s="72"/>
      <c r="AP102" s="72"/>
      <c r="AQ102" s="72"/>
      <c r="AR102" s="73" t="str">
        <f>IF(OR('Расчет'!$C$112="",'Расчет'!$F$112=""),"",IF('Расчет'!$F$112&gt;0.00001,"↑",IF('Расчет'!$F$112&lt;-0.00001,"↓","—")))</f>
        <v/>
      </c>
      <c r="AS102" s="76"/>
      <c r="AT102" s="74"/>
      <c r="AU102" s="74"/>
      <c r="AV102" s="74"/>
      <c r="AW102" s="74"/>
      <c r="AX102" s="74"/>
      <c r="AY102" s="74"/>
      <c r="AZ102" s="74"/>
      <c r="BA102" s="74"/>
      <c r="BB102" s="34"/>
      <c r="BE102" s="31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3"/>
      <c r="BZ102" s="33"/>
      <c r="CA102" s="33"/>
      <c r="CB102" s="33"/>
      <c r="CC102" s="33"/>
      <c r="CD102" s="33"/>
      <c r="CE102" s="33"/>
      <c r="CF102" s="34"/>
      <c r="CI102">
        <f>'Расчет'!$E$112</f>
        <v>-1.0</v>
      </c>
      <c r="CJ102">
        <f>'Расчет'!$G$112</f>
        <v>0.0</v>
      </c>
    </row>
    <row r="103" spans="1:88" ht="19.5" customHeight="1">
      <c r="B103" s="20"/>
      <c r="C103" s="48"/>
      <c r="D103" s="48"/>
      <c r="E103" s="48"/>
      <c r="F103" s="48"/>
      <c r="G103" s="48"/>
      <c r="H103" s="24"/>
      <c r="J103" s="31"/>
      <c r="K103" s="67" t="str">
        <f>IF('Расчет'!$C$113="","",22)</f>
        <v/>
      </c>
      <c r="L103" s="68" t="str">
        <f>'Расчет'!$C$113</f>
        <v/>
      </c>
      <c r="M103" s="68"/>
      <c r="N103" s="68"/>
      <c r="O103" s="68"/>
      <c r="P103" s="68"/>
      <c r="Q103" s="69" t="str">
        <f>IF('Расчет'!$C$113="","",IF('Расчет'!$D$113="","—",'Расчет'!$D$113))</f>
        <v/>
      </c>
      <c r="R103" s="69"/>
      <c r="S103" s="69"/>
      <c r="T103" s="69"/>
      <c r="U103" s="69"/>
      <c r="V103" s="69"/>
      <c r="W103" s="69"/>
      <c r="X103" s="69"/>
      <c r="Y103" s="70" t="str">
        <f>IF('Расчет'!$C$113="","",CHOOSE('Расчет'!$E$113+1,"●  НЕТ ДАННЫХ","●  НОРМА","●  ВНИМАНИЕ","●  РИСК","●  ПРЕВЫШЕНИЕ"))</f>
        <v/>
      </c>
      <c r="Z103" s="70"/>
      <c r="AA103" s="70"/>
      <c r="AB103" s="70"/>
      <c r="AC103" s="70"/>
      <c r="AD103" s="71" t="str">
        <f>IF('Расчет'!$C$113="","",CHOOSE('Расчет'!$E$113+1,"—",c_ZoneG,c_ZoneY,c_ZoneR,c_ZoneX))</f>
        <v/>
      </c>
      <c r="AE103" s="71"/>
      <c r="AF103" s="71"/>
      <c r="AG103" s="71"/>
      <c r="AH103" s="71"/>
      <c r="AI103" s="71"/>
      <c r="AJ103" s="71"/>
      <c r="AK103" s="71"/>
      <c r="AL103" s="71"/>
      <c r="AM103" s="72" t="str">
        <f>IF(OR('Расчет'!$C$113="",'Расчет'!$F$113=""),"",'Расчет'!$F$113)</f>
        <v/>
      </c>
      <c r="AN103" s="72"/>
      <c r="AO103" s="72"/>
      <c r="AP103" s="72"/>
      <c r="AQ103" s="72"/>
      <c r="AR103" s="73" t="str">
        <f>IF(OR('Расчет'!$C$113="",'Расчет'!$F$113=""),"",IF('Расчет'!$F$113&gt;0.00001,"↑",IF('Расчет'!$F$113&lt;-0.00001,"↓","—")))</f>
        <v/>
      </c>
      <c r="AS103" s="76"/>
      <c r="AT103" s="74"/>
      <c r="AU103" s="74"/>
      <c r="AV103" s="74"/>
      <c r="AW103" s="74"/>
      <c r="AX103" s="74"/>
      <c r="AY103" s="74"/>
      <c r="AZ103" s="74"/>
      <c r="BA103" s="74"/>
      <c r="BB103" s="34"/>
      <c r="BE103" s="31"/>
      <c r="BF103" s="33"/>
      <c r="BG103" s="33"/>
      <c r="BH103" s="33"/>
      <c r="BI103" s="33"/>
      <c r="BJ103" s="33"/>
      <c r="BK103" s="33"/>
      <c r="BL103" s="33"/>
      <c r="BM103" s="33"/>
      <c r="BN103" s="33"/>
      <c r="BO103" s="33"/>
      <c r="BP103" s="33"/>
      <c r="BQ103" s="33"/>
      <c r="BR103" s="33"/>
      <c r="BS103" s="33"/>
      <c r="BT103" s="33"/>
      <c r="BU103" s="33"/>
      <c r="BV103" s="33"/>
      <c r="BW103" s="33"/>
      <c r="BX103" s="33"/>
      <c r="BY103" s="33"/>
      <c r="BZ103" s="33"/>
      <c r="CA103" s="33"/>
      <c r="CB103" s="33"/>
      <c r="CC103" s="33"/>
      <c r="CD103" s="33"/>
      <c r="CE103" s="33"/>
      <c r="CF103" s="34"/>
      <c r="CI103">
        <f>'Расчет'!$E$113</f>
        <v>-1.0</v>
      </c>
      <c r="CJ103">
        <f>'Расчет'!$G$113</f>
        <v>0.0</v>
      </c>
    </row>
    <row r="104" spans="1:88" ht="19.5" customHeight="1">
      <c r="B104" s="20"/>
      <c r="C104" s="48"/>
      <c r="D104" s="48"/>
      <c r="E104" s="48"/>
      <c r="F104" s="48"/>
      <c r="G104" s="48"/>
      <c r="H104" s="24"/>
      <c r="J104" s="31"/>
      <c r="K104" s="67" t="str">
        <f>IF('Расчет'!$C$114="","",23)</f>
        <v/>
      </c>
      <c r="L104" s="68" t="str">
        <f>'Расчет'!$C$114</f>
        <v/>
      </c>
      <c r="M104" s="68"/>
      <c r="N104" s="68"/>
      <c r="O104" s="68"/>
      <c r="P104" s="68"/>
      <c r="Q104" s="69" t="str">
        <f>IF('Расчет'!$C$114="","",IF('Расчет'!$D$114="","—",'Расчет'!$D$114))</f>
        <v/>
      </c>
      <c r="R104" s="69"/>
      <c r="S104" s="69"/>
      <c r="T104" s="69"/>
      <c r="U104" s="69"/>
      <c r="V104" s="69"/>
      <c r="W104" s="69"/>
      <c r="X104" s="69"/>
      <c r="Y104" s="70" t="str">
        <f>IF('Расчет'!$C$114="","",CHOOSE('Расчет'!$E$114+1,"●  НЕТ ДАННЫХ","●  НОРМА","●  ВНИМАНИЕ","●  РИСК","●  ПРЕВЫШЕНИЕ"))</f>
        <v/>
      </c>
      <c r="Z104" s="70"/>
      <c r="AA104" s="70"/>
      <c r="AB104" s="70"/>
      <c r="AC104" s="70"/>
      <c r="AD104" s="71" t="str">
        <f>IF('Расчет'!$C$114="","",CHOOSE('Расчет'!$E$114+1,"—",c_ZoneG,c_ZoneY,c_ZoneR,c_ZoneX))</f>
        <v/>
      </c>
      <c r="AE104" s="71"/>
      <c r="AF104" s="71"/>
      <c r="AG104" s="71"/>
      <c r="AH104" s="71"/>
      <c r="AI104" s="71"/>
      <c r="AJ104" s="71"/>
      <c r="AK104" s="71"/>
      <c r="AL104" s="71"/>
      <c r="AM104" s="72" t="str">
        <f>IF(OR('Расчет'!$C$114="",'Расчет'!$F$114=""),"",'Расчет'!$F$114)</f>
        <v/>
      </c>
      <c r="AN104" s="72"/>
      <c r="AO104" s="72"/>
      <c r="AP104" s="72"/>
      <c r="AQ104" s="72"/>
      <c r="AR104" s="73" t="str">
        <f>IF(OR('Расчет'!$C$114="",'Расчет'!$F$114=""),"",IF('Расчет'!$F$114&gt;0.00001,"↑",IF('Расчет'!$F$114&lt;-0.00001,"↓","—")))</f>
        <v/>
      </c>
      <c r="AS104" s="76"/>
      <c r="AT104" s="74"/>
      <c r="AU104" s="74"/>
      <c r="AV104" s="74"/>
      <c r="AW104" s="74"/>
      <c r="AX104" s="74"/>
      <c r="AY104" s="74"/>
      <c r="AZ104" s="74"/>
      <c r="BA104" s="74"/>
      <c r="BB104" s="34"/>
      <c r="BE104" s="31"/>
      <c r="BF104" s="33"/>
      <c r="BG104" s="33"/>
      <c r="BH104" s="33"/>
      <c r="BI104" s="33"/>
      <c r="BJ104" s="33"/>
      <c r="BK104" s="33"/>
      <c r="BL104" s="33"/>
      <c r="BM104" s="33"/>
      <c r="BN104" s="33"/>
      <c r="BO104" s="33"/>
      <c r="BP104" s="33"/>
      <c r="BQ104" s="33"/>
      <c r="BR104" s="33"/>
      <c r="BS104" s="33"/>
      <c r="BT104" s="33"/>
      <c r="BU104" s="33"/>
      <c r="BV104" s="33"/>
      <c r="BW104" s="33"/>
      <c r="BX104" s="33"/>
      <c r="BY104" s="33"/>
      <c r="BZ104" s="33"/>
      <c r="CA104" s="33"/>
      <c r="CB104" s="33"/>
      <c r="CC104" s="33"/>
      <c r="CD104" s="33"/>
      <c r="CE104" s="33"/>
      <c r="CF104" s="34"/>
      <c r="CI104">
        <f>'Расчет'!$E$114</f>
        <v>-1.0</v>
      </c>
      <c r="CJ104">
        <f>'Расчет'!$G$114</f>
        <v>0.0</v>
      </c>
    </row>
    <row r="105" spans="1:88" ht="19.5" customHeight="1">
      <c r="B105" s="20"/>
      <c r="C105" s="48"/>
      <c r="D105" s="48"/>
      <c r="E105" s="48"/>
      <c r="F105" s="48"/>
      <c r="G105" s="48"/>
      <c r="H105" s="24"/>
      <c r="J105" s="31"/>
      <c r="K105" s="67" t="str">
        <f>IF('Расчет'!$C$115="","",24)</f>
        <v/>
      </c>
      <c r="L105" s="68" t="str">
        <f>'Расчет'!$C$115</f>
        <v/>
      </c>
      <c r="M105" s="68"/>
      <c r="N105" s="68"/>
      <c r="O105" s="68"/>
      <c r="P105" s="68"/>
      <c r="Q105" s="69" t="str">
        <f>IF('Расчет'!$C$115="","",IF('Расчет'!$D$115="","—",'Расчет'!$D$115))</f>
        <v/>
      </c>
      <c r="R105" s="69"/>
      <c r="S105" s="69"/>
      <c r="T105" s="69"/>
      <c r="U105" s="69"/>
      <c r="V105" s="69"/>
      <c r="W105" s="69"/>
      <c r="X105" s="69"/>
      <c r="Y105" s="70" t="str">
        <f>IF('Расчет'!$C$115="","",CHOOSE('Расчет'!$E$115+1,"●  НЕТ ДАННЫХ","●  НОРМА","●  ВНИМАНИЕ","●  РИСК","●  ПРЕВЫШЕНИЕ"))</f>
        <v/>
      </c>
      <c r="Z105" s="70"/>
      <c r="AA105" s="70"/>
      <c r="AB105" s="70"/>
      <c r="AC105" s="70"/>
      <c r="AD105" s="71" t="str">
        <f>IF('Расчет'!$C$115="","",CHOOSE('Расчет'!$E$115+1,"—",c_ZoneG,c_ZoneY,c_ZoneR,c_ZoneX))</f>
        <v/>
      </c>
      <c r="AE105" s="71"/>
      <c r="AF105" s="71"/>
      <c r="AG105" s="71"/>
      <c r="AH105" s="71"/>
      <c r="AI105" s="71"/>
      <c r="AJ105" s="71"/>
      <c r="AK105" s="71"/>
      <c r="AL105" s="71"/>
      <c r="AM105" s="72" t="str">
        <f>IF(OR('Расчет'!$C$115="",'Расчет'!$F$115=""),"",'Расчет'!$F$115)</f>
        <v/>
      </c>
      <c r="AN105" s="72"/>
      <c r="AO105" s="72"/>
      <c r="AP105" s="72"/>
      <c r="AQ105" s="72"/>
      <c r="AR105" s="73" t="str">
        <f>IF(OR('Расчет'!$C$115="",'Расчет'!$F$115=""),"",IF('Расчет'!$F$115&gt;0.00001,"↑",IF('Расчет'!$F$115&lt;-0.00001,"↓","—")))</f>
        <v/>
      </c>
      <c r="AS105" s="76"/>
      <c r="AT105" s="74"/>
      <c r="AU105" s="74"/>
      <c r="AV105" s="74"/>
      <c r="AW105" s="74"/>
      <c r="AX105" s="74"/>
      <c r="AY105" s="74"/>
      <c r="AZ105" s="74"/>
      <c r="BA105" s="74"/>
      <c r="BB105" s="34"/>
      <c r="BE105" s="31"/>
      <c r="BF105" s="33"/>
      <c r="BG105" s="33"/>
      <c r="BH105" s="33"/>
      <c r="BI105" s="33"/>
      <c r="BJ105" s="33"/>
      <c r="BK105" s="33"/>
      <c r="BL105" s="33"/>
      <c r="BM105" s="33"/>
      <c r="BN105" s="33"/>
      <c r="BO105" s="33"/>
      <c r="BP105" s="33"/>
      <c r="BQ105" s="33"/>
      <c r="BR105" s="33"/>
      <c r="BS105" s="33"/>
      <c r="BT105" s="33"/>
      <c r="BU105" s="33"/>
      <c r="BV105" s="33"/>
      <c r="BW105" s="33"/>
      <c r="BX105" s="33"/>
      <c r="BY105" s="33"/>
      <c r="BZ105" s="33"/>
      <c r="CA105" s="33"/>
      <c r="CB105" s="33"/>
      <c r="CC105" s="33"/>
      <c r="CD105" s="33"/>
      <c r="CE105" s="33"/>
      <c r="CF105" s="34"/>
      <c r="CI105">
        <f>'Расчет'!$E$115</f>
        <v>-1.0</v>
      </c>
      <c r="CJ105">
        <f>'Расчет'!$G$115</f>
        <v>0.0</v>
      </c>
    </row>
    <row r="106" spans="1:88" ht="7.5" customHeight="1">
      <c r="B106" s="93"/>
      <c r="C106" s="94"/>
      <c r="D106" s="94"/>
      <c r="E106" s="94"/>
      <c r="F106" s="94"/>
      <c r="G106" s="94"/>
      <c r="H106" s="95"/>
      <c r="J106" s="56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7"/>
      <c r="AT106" s="57"/>
      <c r="AU106" s="57"/>
      <c r="AV106" s="57"/>
      <c r="AW106" s="57"/>
      <c r="AX106" s="57"/>
      <c r="AY106" s="57"/>
      <c r="AZ106" s="57"/>
      <c r="BA106" s="57"/>
      <c r="BB106" s="58"/>
      <c r="BE106" s="56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7"/>
      <c r="CC106" s="57"/>
      <c r="CD106" s="57"/>
      <c r="CE106" s="57"/>
      <c r="CF106" s="58"/>
    </row>
    <row r="107" spans="1:88" ht="7.5" customHeight="1">
      <c r="A107" s="96"/>
      <c r="B107" s="96"/>
      <c r="C107" s="96"/>
      <c r="D107" s="96"/>
      <c r="E107" s="96"/>
      <c r="F107" s="96"/>
      <c r="G107" s="96"/>
      <c r="H107" s="96"/>
      <c r="I107" s="96"/>
      <c r="J107" s="96"/>
      <c r="K107" s="96"/>
      <c r="L107" s="96"/>
      <c r="M107" s="96"/>
      <c r="N107" s="96"/>
      <c r="O107" s="96"/>
      <c r="P107" s="96"/>
      <c r="Q107" s="96"/>
      <c r="R107" s="96"/>
      <c r="S107" s="96"/>
      <c r="T107" s="96"/>
      <c r="U107" s="96"/>
      <c r="V107" s="96"/>
      <c r="W107" s="96"/>
      <c r="X107" s="96"/>
      <c r="Y107" s="96"/>
      <c r="Z107" s="96"/>
      <c r="AA107" s="96"/>
      <c r="AB107" s="96"/>
      <c r="AC107" s="96"/>
      <c r="AD107" s="96"/>
      <c r="AE107" s="96"/>
      <c r="AF107" s="96"/>
      <c r="AG107" s="96"/>
      <c r="AH107" s="96"/>
      <c r="AI107" s="96"/>
      <c r="AJ107" s="96"/>
      <c r="AK107" s="96"/>
      <c r="AL107" s="96"/>
      <c r="AM107" s="96"/>
      <c r="AN107" s="96"/>
      <c r="AO107" s="96"/>
      <c r="AP107" s="96"/>
      <c r="AQ107" s="96"/>
      <c r="AR107" s="96"/>
      <c r="AS107" s="96"/>
      <c r="AT107" s="96"/>
      <c r="AU107" s="96"/>
      <c r="AV107" s="96"/>
      <c r="AW107" s="96"/>
      <c r="AX107" s="96"/>
      <c r="AY107" s="96"/>
      <c r="AZ107" s="96"/>
      <c r="BA107" s="96"/>
      <c r="BB107" s="96"/>
      <c r="BC107" s="96"/>
      <c r="BD107" s="96"/>
      <c r="BE107" s="96"/>
      <c r="BF107" s="96"/>
      <c r="BG107" s="96"/>
      <c r="BH107" s="96"/>
      <c r="BI107" s="96"/>
      <c r="BJ107" s="96"/>
      <c r="BK107" s="96"/>
      <c r="BL107" s="96"/>
      <c r="BM107" s="96"/>
      <c r="BN107" s="96"/>
      <c r="BO107" s="96"/>
      <c r="BP107" s="96"/>
      <c r="BQ107" s="96"/>
      <c r="BR107" s="96"/>
      <c r="BS107" s="96"/>
      <c r="BT107" s="96"/>
      <c r="BU107" s="96"/>
      <c r="BV107" s="96"/>
      <c r="BW107" s="96"/>
      <c r="BX107" s="96"/>
      <c r="BY107" s="96"/>
      <c r="BZ107" s="96"/>
      <c r="CA107" s="96"/>
      <c r="CB107" s="96"/>
      <c r="CC107" s="96"/>
      <c r="CD107" s="96"/>
      <c r="CE107" s="96"/>
      <c r="CF107" s="96"/>
      <c r="CG107" s="96"/>
    </row>
    <row r="108" spans="1:88" ht="3" customHeight="1">
      <c r="A108" s="97"/>
      <c r="B108" s="97"/>
      <c r="C108" s="97"/>
      <c r="D108" s="97"/>
      <c r="E108" s="97"/>
      <c r="F108" s="97"/>
      <c r="G108" s="97"/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97"/>
      <c r="T108" s="97"/>
      <c r="U108" s="97"/>
      <c r="V108" s="97"/>
      <c r="W108" s="97"/>
      <c r="X108" s="97"/>
      <c r="Y108" s="97"/>
      <c r="Z108" s="97"/>
      <c r="AA108" s="97"/>
      <c r="AB108" s="97"/>
      <c r="AC108" s="97"/>
      <c r="AD108" s="97"/>
      <c r="AE108" s="97"/>
      <c r="AF108" s="97"/>
      <c r="AG108" s="97"/>
      <c r="AH108" s="97"/>
      <c r="AI108" s="97"/>
      <c r="AJ108" s="97"/>
      <c r="AK108" s="97"/>
      <c r="AL108" s="97"/>
      <c r="AM108" s="97"/>
      <c r="AN108" s="97"/>
      <c r="AO108" s="97"/>
      <c r="AP108" s="97"/>
      <c r="AQ108" s="97"/>
      <c r="AR108" s="97"/>
      <c r="AS108" s="97"/>
      <c r="AT108" s="97"/>
      <c r="AU108" s="97"/>
      <c r="AV108" s="97"/>
      <c r="AW108" s="97"/>
      <c r="AX108" s="97"/>
      <c r="AY108" s="97"/>
      <c r="AZ108" s="97"/>
      <c r="BA108" s="97"/>
      <c r="BB108" s="97"/>
      <c r="BC108" s="97"/>
      <c r="BD108" s="97"/>
      <c r="BE108" s="97"/>
      <c r="BF108" s="97"/>
      <c r="BG108" s="97"/>
      <c r="BH108" s="97"/>
      <c r="BI108" s="97"/>
      <c r="BJ108" s="97"/>
      <c r="BK108" s="97"/>
      <c r="BL108" s="97"/>
      <c r="BM108" s="97"/>
      <c r="BN108" s="97"/>
      <c r="BO108" s="97"/>
      <c r="BP108" s="97"/>
      <c r="BQ108" s="97"/>
      <c r="BR108" s="97"/>
      <c r="BS108" s="97"/>
      <c r="BT108" s="97"/>
      <c r="BU108" s="97"/>
      <c r="BV108" s="97"/>
      <c r="BW108" s="97"/>
      <c r="BX108" s="97"/>
      <c r="BY108" s="97"/>
      <c r="BZ108" s="97"/>
      <c r="CA108" s="97"/>
      <c r="CB108" s="97"/>
      <c r="CC108" s="97"/>
      <c r="CD108" s="97"/>
      <c r="CE108" s="97"/>
      <c r="CF108" s="97"/>
      <c r="CG108" s="97"/>
    </row>
    <row r="109" spans="1:88" ht="1.5" customHeight="1">
      <c r="A109" s="97"/>
      <c r="B109" s="97"/>
      <c r="C109" s="97"/>
      <c r="D109" s="97"/>
      <c r="E109" s="98" t="str">
        <f>"СОСТОЯНИЕ: "&amp;c_Footer</f>
        <v>СОСТОЯНИЕ: НЕТ ДАННЫХ</v>
      </c>
      <c r="F109" s="98"/>
      <c r="G109" s="98"/>
      <c r="H109" s="98"/>
      <c r="I109" s="98"/>
      <c r="J109" s="98"/>
      <c r="K109" s="98"/>
      <c r="L109" s="98"/>
      <c r="M109" s="98"/>
      <c r="N109" s="98"/>
      <c r="O109" s="98"/>
      <c r="P109" s="98"/>
      <c r="Q109" s="98"/>
      <c r="R109" s="98"/>
      <c r="S109" s="98"/>
      <c r="T109" s="98"/>
      <c r="U109" s="98"/>
      <c r="V109" s="98"/>
      <c r="W109" s="98"/>
      <c r="X109" s="98"/>
      <c r="Y109" s="97"/>
      <c r="Z109" s="97"/>
      <c r="AA109" s="97"/>
      <c r="AB109" s="99" t="str">
        <f>IF(sys_LastFile="","Данные не загружены — нажмите «Импорт данных»","Источник данных: "&amp;IF(LEN(sys_LastFile)&gt;44,LEFT(sys_LastFile,42)&amp;"…",sys_LastFile))</f>
        <v>Данные не загружены — нажмите «Импорт данных»</v>
      </c>
      <c r="AC109" s="99"/>
      <c r="AD109" s="99"/>
      <c r="AE109" s="99"/>
      <c r="AF109" s="99"/>
      <c r="AG109" s="99"/>
      <c r="AH109" s="99"/>
      <c r="AI109" s="99"/>
      <c r="AJ109" s="99"/>
      <c r="AK109" s="99"/>
      <c r="AL109" s="99"/>
      <c r="AM109" s="99"/>
      <c r="AN109" s="99"/>
      <c r="AO109" s="99"/>
      <c r="AP109" s="99"/>
      <c r="AQ109" s="99"/>
      <c r="AR109" s="99"/>
      <c r="AS109" s="99"/>
      <c r="AT109" s="99"/>
      <c r="AU109" s="99"/>
      <c r="AV109" s="99"/>
      <c r="AW109" s="99"/>
      <c r="AX109" s="99"/>
      <c r="AY109" s="99"/>
      <c r="AZ109" s="99"/>
      <c r="BA109" s="97"/>
      <c r="BB109" s="97"/>
      <c r="BC109" s="97"/>
      <c r="BD109" s="97"/>
      <c r="BE109" s="97"/>
      <c r="BF109" s="97"/>
      <c r="BG109" s="97"/>
      <c r="BH109" s="97"/>
      <c r="BI109" s="97"/>
      <c r="BJ109" s="100" t="s">
        <v>101</v>
      </c>
      <c r="BK109" s="100"/>
      <c r="BL109" s="100"/>
      <c r="BM109" s="100"/>
      <c r="BN109" s="100"/>
      <c r="BO109" s="101" t="str">
        <f>cfg_Role</f>
        <v>ДИСПЕТЧЕР</v>
      </c>
      <c r="BP109" s="101"/>
      <c r="BQ109" s="101"/>
      <c r="BR109" s="101"/>
      <c r="BS109" s="101"/>
      <c r="BT109" s="101"/>
      <c r="BU109" s="101"/>
      <c r="BV109" s="101"/>
      <c r="BW109" s="101"/>
      <c r="BX109" s="101"/>
      <c r="BY109" s="97"/>
      <c r="BZ109" s="97"/>
      <c r="CA109" s="97"/>
      <c r="CB109" s="97"/>
      <c r="CC109" s="97"/>
      <c r="CD109" s="97"/>
      <c r="CE109" s="97"/>
      <c r="CF109" s="97"/>
      <c r="CG109" s="97"/>
    </row>
    <row r="110" spans="1:88" ht="22.5" customHeight="1">
      <c r="A110" s="97"/>
      <c r="B110" s="97"/>
      <c r="C110" s="97"/>
      <c r="D110" s="97"/>
      <c r="E110" s="98"/>
      <c r="F110" s="98"/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7"/>
      <c r="Z110" s="97"/>
      <c r="AA110" s="97"/>
      <c r="AB110" s="99"/>
      <c r="AC110" s="99"/>
      <c r="AD110" s="99"/>
      <c r="AE110" s="99"/>
      <c r="AF110" s="99"/>
      <c r="AG110" s="99"/>
      <c r="AH110" s="99"/>
      <c r="AI110" s="99"/>
      <c r="AJ110" s="99"/>
      <c r="AK110" s="99"/>
      <c r="AL110" s="99"/>
      <c r="AM110" s="99"/>
      <c r="AN110" s="99"/>
      <c r="AO110" s="99"/>
      <c r="AP110" s="99"/>
      <c r="AQ110" s="99"/>
      <c r="AR110" s="99"/>
      <c r="AS110" s="99"/>
      <c r="AT110" s="99"/>
      <c r="AU110" s="99"/>
      <c r="AV110" s="99"/>
      <c r="AW110" s="99"/>
      <c r="AX110" s="99"/>
      <c r="AY110" s="99"/>
      <c r="AZ110" s="99"/>
      <c r="BA110" s="97"/>
      <c r="BB110" s="97"/>
      <c r="BC110" s="97"/>
      <c r="BD110" s="97"/>
      <c r="BE110" s="97"/>
      <c r="BF110" s="97"/>
      <c r="BG110" s="97"/>
      <c r="BH110" s="97"/>
      <c r="BI110" s="97"/>
      <c r="BJ110" s="100"/>
      <c r="BK110" s="100"/>
      <c r="BL110" s="100"/>
      <c r="BM110" s="100"/>
      <c r="BN110" s="100"/>
      <c r="BO110" s="101"/>
      <c r="BP110" s="101"/>
      <c r="BQ110" s="101"/>
      <c r="BR110" s="101"/>
      <c r="BS110" s="101"/>
      <c r="BT110" s="101"/>
      <c r="BU110" s="101"/>
      <c r="BV110" s="101"/>
      <c r="BW110" s="101"/>
      <c r="BX110" s="101"/>
      <c r="BY110" s="97"/>
      <c r="BZ110" s="102"/>
      <c r="CA110" s="97"/>
      <c r="CB110" s="97"/>
      <c r="CC110" s="97"/>
      <c r="CD110" s="97"/>
      <c r="CE110" s="97"/>
      <c r="CF110" s="97"/>
      <c r="CG110" s="97"/>
    </row>
    <row r="111" spans="1:88" ht="1.5" customHeight="1">
      <c r="A111" s="97"/>
      <c r="B111" s="97"/>
      <c r="C111" s="97"/>
      <c r="D111" s="97"/>
      <c r="E111" s="98"/>
      <c r="F111" s="98"/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7"/>
      <c r="Z111" s="97"/>
      <c r="AA111" s="97"/>
      <c r="AB111" s="99"/>
      <c r="AC111" s="99"/>
      <c r="AD111" s="99"/>
      <c r="AE111" s="99"/>
      <c r="AF111" s="99"/>
      <c r="AG111" s="99"/>
      <c r="AH111" s="99"/>
      <c r="AI111" s="99"/>
      <c r="AJ111" s="99"/>
      <c r="AK111" s="99"/>
      <c r="AL111" s="99"/>
      <c r="AM111" s="99"/>
      <c r="AN111" s="99"/>
      <c r="AO111" s="99"/>
      <c r="AP111" s="99"/>
      <c r="AQ111" s="99"/>
      <c r="AR111" s="99"/>
      <c r="AS111" s="99"/>
      <c r="AT111" s="99"/>
      <c r="AU111" s="99"/>
      <c r="AV111" s="99"/>
      <c r="AW111" s="99"/>
      <c r="AX111" s="99"/>
      <c r="AY111" s="99"/>
      <c r="AZ111" s="99"/>
      <c r="BA111" s="97"/>
      <c r="BB111" s="97"/>
      <c r="BC111" s="97"/>
      <c r="BD111" s="97"/>
      <c r="BE111" s="97"/>
      <c r="BF111" s="97"/>
      <c r="BG111" s="97"/>
      <c r="BH111" s="97"/>
      <c r="BI111" s="97"/>
      <c r="BJ111" s="100"/>
      <c r="BK111" s="100"/>
      <c r="BL111" s="100"/>
      <c r="BM111" s="100"/>
      <c r="BN111" s="100"/>
      <c r="BO111" s="101"/>
      <c r="BP111" s="101"/>
      <c r="BQ111" s="101"/>
      <c r="BR111" s="101"/>
      <c r="BS111" s="101"/>
      <c r="BT111" s="101"/>
      <c r="BU111" s="101"/>
      <c r="BV111" s="101"/>
      <c r="BW111" s="101"/>
      <c r="BX111" s="101"/>
      <c r="BY111" s="97"/>
      <c r="BZ111" s="97"/>
      <c r="CA111" s="97"/>
      <c r="CB111" s="97"/>
      <c r="CC111" s="97"/>
      <c r="CD111" s="97"/>
      <c r="CE111" s="97"/>
      <c r="CF111" s="97"/>
      <c r="CG111" s="97"/>
    </row>
    <row r="112" spans="1:88" ht="7.5" customHeight="1">
      <c r="A112" s="97"/>
      <c r="B112" s="97"/>
      <c r="C112" s="97"/>
      <c r="D112" s="97"/>
      <c r="E112" s="97"/>
      <c r="F112" s="97"/>
      <c r="G112" s="97"/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97"/>
      <c r="T112" s="97"/>
      <c r="U112" s="97"/>
      <c r="V112" s="97"/>
      <c r="W112" s="97"/>
      <c r="X112" s="97"/>
      <c r="Y112" s="97"/>
      <c r="Z112" s="97"/>
      <c r="AA112" s="97"/>
      <c r="AB112" s="97"/>
      <c r="AC112" s="97"/>
      <c r="AD112" s="97"/>
      <c r="AE112" s="97"/>
      <c r="AF112" s="97"/>
      <c r="AG112" s="97"/>
      <c r="AH112" s="97"/>
      <c r="AI112" s="97"/>
      <c r="AJ112" s="97"/>
      <c r="AK112" s="97"/>
      <c r="AL112" s="97"/>
      <c r="AM112" s="97"/>
      <c r="AN112" s="97"/>
      <c r="AO112" s="97"/>
      <c r="AP112" s="97"/>
      <c r="AQ112" s="97"/>
      <c r="AR112" s="97"/>
      <c r="AS112" s="97"/>
      <c r="AT112" s="97"/>
      <c r="AU112" s="97"/>
      <c r="AV112" s="97"/>
      <c r="AW112" s="97"/>
      <c r="AX112" s="97"/>
      <c r="AY112" s="97"/>
      <c r="AZ112" s="97"/>
      <c r="BA112" s="97"/>
      <c r="BB112" s="97"/>
      <c r="BC112" s="97"/>
      <c r="BD112" s="97"/>
      <c r="BE112" s="97"/>
      <c r="BF112" s="97"/>
      <c r="BG112" s="97"/>
      <c r="BH112" s="97"/>
      <c r="BI112" s="97"/>
      <c r="BJ112" s="97"/>
      <c r="BK112" s="97"/>
      <c r="BL112" s="97"/>
      <c r="BM112" s="97"/>
      <c r="BN112" s="97"/>
      <c r="BO112" s="97"/>
      <c r="BP112" s="97"/>
      <c r="BQ112" s="97"/>
      <c r="BR112" s="97"/>
      <c r="BS112" s="97"/>
      <c r="BT112" s="97"/>
      <c r="BU112" s="97"/>
      <c r="BV112" s="97"/>
      <c r="BW112" s="97"/>
      <c r="BX112" s="97"/>
      <c r="BY112" s="97"/>
      <c r="BZ112" s="97"/>
      <c r="CA112" s="97"/>
      <c r="CB112" s="97"/>
      <c r="CC112" s="97"/>
      <c r="CD112" s="97"/>
      <c r="CE112" s="97"/>
      <c r="CF112" s="97"/>
      <c r="CG112" s="97"/>
    </row>
  </sheetData>
  <mergeCells count="264">
    <mergeCell ref="F5:M8"/>
    <mergeCell ref="P3:BJ6"/>
    <mergeCell ref="P8:BC9"/>
    <mergeCell ref="BM2:CD5"/>
    <mergeCell ref="BH8:CA9"/>
    <mergeCell ref="CB8:CE9"/>
    <mergeCell ref="C18:G22"/>
    <mergeCell ref="C35:G36"/>
    <mergeCell ref="C46:G48"/>
    <mergeCell ref="C58:G59"/>
    <mergeCell ref="C69:G72"/>
    <mergeCell ref="C82:G84"/>
    <mergeCell ref="J13:L14"/>
    <mergeCell ref="M13:Q14"/>
    <mergeCell ref="R13:S14"/>
    <mergeCell ref="W13:Z14"/>
    <mergeCell ref="AA13:AD14"/>
    <mergeCell ref="AH13:AK14"/>
    <mergeCell ref="AL13:AT14"/>
    <mergeCell ref="AV13:AY14"/>
    <mergeCell ref="AZ13:BT14"/>
    <mergeCell ref="K17:R18"/>
    <mergeCell ref="O21:R27"/>
    <mergeCell ref="O28:R30"/>
    <mergeCell ref="X17:AE18"/>
    <mergeCell ref="X20:Y28"/>
    <mergeCell ref="Z20:AB28"/>
    <mergeCell ref="X30:AE32"/>
    <mergeCell ref="AI17:AN18"/>
    <mergeCell ref="AI20:AJ28"/>
    <mergeCell ref="AK20:AM28"/>
    <mergeCell ref="AI30:AN32"/>
    <mergeCell ref="AQ17:BP18"/>
    <mergeCell ref="AQ21:AV25"/>
    <mergeCell ref="AQ27:AV32"/>
    <mergeCell ref="AY21:BD25"/>
    <mergeCell ref="AY27:BD32"/>
    <mergeCell ref="BG21:BP25"/>
    <mergeCell ref="BG27:BP32"/>
    <mergeCell ref="BU17:CD18"/>
    <mergeCell ref="BU20:CD28"/>
    <mergeCell ref="BU30:CD32"/>
    <mergeCell ref="K36:AI40"/>
    <mergeCell ref="AJ36:BA40"/>
    <mergeCell ref="K41:K42"/>
    <mergeCell ref="L41:P42"/>
    <mergeCell ref="Q41:X42"/>
    <mergeCell ref="Y41:AC42"/>
    <mergeCell ref="AD41:AL42"/>
    <mergeCell ref="AM41:AS42"/>
    <mergeCell ref="AT41:BA42"/>
    <mergeCell ref="K43:K46"/>
    <mergeCell ref="L43:P46"/>
    <mergeCell ref="Q43:X46"/>
    <mergeCell ref="Y43:AC46"/>
    <mergeCell ref="AD43:AL46"/>
    <mergeCell ref="AM43:AQ46"/>
    <mergeCell ref="AR43:AR46"/>
    <mergeCell ref="AT43:BA46"/>
    <mergeCell ref="K47:K50"/>
    <mergeCell ref="L47:P50"/>
    <mergeCell ref="Q47:X50"/>
    <mergeCell ref="Y47:AC50"/>
    <mergeCell ref="AD47:AL50"/>
    <mergeCell ref="AM47:AQ50"/>
    <mergeCell ref="AR47:AR50"/>
    <mergeCell ref="AT47:BA50"/>
    <mergeCell ref="K51:K53"/>
    <mergeCell ref="L51:P53"/>
    <mergeCell ref="Q51:X53"/>
    <mergeCell ref="Y51:AC53"/>
    <mergeCell ref="AD51:AL53"/>
    <mergeCell ref="AM51:AQ53"/>
    <mergeCell ref="AR51:AR53"/>
    <mergeCell ref="AT51:BA53"/>
    <mergeCell ref="K54:K56"/>
    <mergeCell ref="L54:P56"/>
    <mergeCell ref="Q54:X56"/>
    <mergeCell ref="Y54:AC56"/>
    <mergeCell ref="AD54:AL56"/>
    <mergeCell ref="AM54:AQ56"/>
    <mergeCell ref="AR54:AR56"/>
    <mergeCell ref="AT54:BA56"/>
    <mergeCell ref="K57:K59"/>
    <mergeCell ref="L57:P59"/>
    <mergeCell ref="Q57:X59"/>
    <mergeCell ref="Y57:AC59"/>
    <mergeCell ref="AD57:AL59"/>
    <mergeCell ref="AM57:AQ59"/>
    <mergeCell ref="AR57:AR59"/>
    <mergeCell ref="AT57:BA59"/>
    <mergeCell ref="K60:K64"/>
    <mergeCell ref="L60:P64"/>
    <mergeCell ref="Q60:X64"/>
    <mergeCell ref="Y60:AC64"/>
    <mergeCell ref="AD60:AL64"/>
    <mergeCell ref="AM60:AQ64"/>
    <mergeCell ref="AR60:AR64"/>
    <mergeCell ref="AT60:BA64"/>
    <mergeCell ref="K65:K66"/>
    <mergeCell ref="L65:P66"/>
    <mergeCell ref="Q65:X66"/>
    <mergeCell ref="Y65:AC66"/>
    <mergeCell ref="AD65:AL66"/>
    <mergeCell ref="AM65:AQ66"/>
    <mergeCell ref="AR65:AR66"/>
    <mergeCell ref="AT65:BA66"/>
    <mergeCell ref="K67:K69"/>
    <mergeCell ref="L67:P69"/>
    <mergeCell ref="Q67:X69"/>
    <mergeCell ref="Y67:AC69"/>
    <mergeCell ref="AD67:AL69"/>
    <mergeCell ref="AM67:AQ69"/>
    <mergeCell ref="AR67:AR69"/>
    <mergeCell ref="AT67:BA69"/>
    <mergeCell ref="K70:K76"/>
    <mergeCell ref="L70:P76"/>
    <mergeCell ref="Q70:X76"/>
    <mergeCell ref="Y70:AC76"/>
    <mergeCell ref="AD70:AL76"/>
    <mergeCell ref="AM70:AQ76"/>
    <mergeCell ref="AR70:AR76"/>
    <mergeCell ref="AT70:BA76"/>
    <mergeCell ref="K77:K80"/>
    <mergeCell ref="L77:P80"/>
    <mergeCell ref="Q77:X80"/>
    <mergeCell ref="Y77:AC80"/>
    <mergeCell ref="AD77:AL80"/>
    <mergeCell ref="AM77:AQ80"/>
    <mergeCell ref="AR77:AR80"/>
    <mergeCell ref="AT77:BA80"/>
    <mergeCell ref="L81:P81"/>
    <mergeCell ref="Q81:X81"/>
    <mergeCell ref="Y81:AC81"/>
    <mergeCell ref="AD81:AL81"/>
    <mergeCell ref="AM81:AQ81"/>
    <mergeCell ref="AT81:BA81"/>
    <mergeCell ref="K82:K85"/>
    <mergeCell ref="L82:P85"/>
    <mergeCell ref="Q82:X85"/>
    <mergeCell ref="Y82:AC85"/>
    <mergeCell ref="AD82:AL85"/>
    <mergeCell ref="AM82:AQ85"/>
    <mergeCell ref="AR82:AR85"/>
    <mergeCell ref="AT82:BA85"/>
    <mergeCell ref="K86:K87"/>
    <mergeCell ref="L86:P87"/>
    <mergeCell ref="Q86:X87"/>
    <mergeCell ref="Y86:AC87"/>
    <mergeCell ref="AD86:AL87"/>
    <mergeCell ref="AM86:AQ87"/>
    <mergeCell ref="AR86:AR87"/>
    <mergeCell ref="AT86:BA87"/>
    <mergeCell ref="K88:K89"/>
    <mergeCell ref="L88:P89"/>
    <mergeCell ref="Q88:X89"/>
    <mergeCell ref="Y88:AC89"/>
    <mergeCell ref="AD88:AL89"/>
    <mergeCell ref="AM88:AQ89"/>
    <mergeCell ref="AR88:AR89"/>
    <mergeCell ref="AT88:BA89"/>
    <mergeCell ref="K90:K92"/>
    <mergeCell ref="L90:P92"/>
    <mergeCell ref="Q90:X92"/>
    <mergeCell ref="Y90:AC92"/>
    <mergeCell ref="AD90:AL92"/>
    <mergeCell ref="AM90:AQ92"/>
    <mergeCell ref="AR90:AR92"/>
    <mergeCell ref="AT90:BA92"/>
    <mergeCell ref="K93:K94"/>
    <mergeCell ref="L93:P94"/>
    <mergeCell ref="Q93:X94"/>
    <mergeCell ref="Y93:AC94"/>
    <mergeCell ref="AD93:AL94"/>
    <mergeCell ref="AM93:AQ94"/>
    <mergeCell ref="AR93:AR94"/>
    <mergeCell ref="AT93:BA94"/>
    <mergeCell ref="K95:K96"/>
    <mergeCell ref="L95:P96"/>
    <mergeCell ref="Q95:X96"/>
    <mergeCell ref="Y95:AC96"/>
    <mergeCell ref="AD95:AL96"/>
    <mergeCell ref="AM95:AQ96"/>
    <mergeCell ref="AR95:AR96"/>
    <mergeCell ref="AT95:BA96"/>
    <mergeCell ref="K97:K98"/>
    <mergeCell ref="L97:P98"/>
    <mergeCell ref="Q97:X98"/>
    <mergeCell ref="Y97:AC98"/>
    <mergeCell ref="AD97:AL98"/>
    <mergeCell ref="AM97:AQ98"/>
    <mergeCell ref="AR97:AR98"/>
    <mergeCell ref="AT97:BA98"/>
    <mergeCell ref="K99:K100"/>
    <mergeCell ref="L99:P100"/>
    <mergeCell ref="Q99:X100"/>
    <mergeCell ref="Y99:AC100"/>
    <mergeCell ref="AD99:AL100"/>
    <mergeCell ref="AM99:AQ100"/>
    <mergeCell ref="AR99:AR100"/>
    <mergeCell ref="AT99:BA100"/>
    <mergeCell ref="L101:P101"/>
    <mergeCell ref="Q101:X101"/>
    <mergeCell ref="Y101:AC101"/>
    <mergeCell ref="AD101:AL101"/>
    <mergeCell ref="AM101:AQ101"/>
    <mergeCell ref="AT101:BA101"/>
    <mergeCell ref="L102:P102"/>
    <mergeCell ref="Q102:X102"/>
    <mergeCell ref="Y102:AC102"/>
    <mergeCell ref="AD102:AL102"/>
    <mergeCell ref="AM102:AQ102"/>
    <mergeCell ref="AT102:BA102"/>
    <mergeCell ref="L103:P103"/>
    <mergeCell ref="Q103:X103"/>
    <mergeCell ref="Y103:AC103"/>
    <mergeCell ref="AD103:AL103"/>
    <mergeCell ref="AM103:AQ103"/>
    <mergeCell ref="AT103:BA103"/>
    <mergeCell ref="L104:P104"/>
    <mergeCell ref="Q104:X104"/>
    <mergeCell ref="Y104:AC104"/>
    <mergeCell ref="AD104:AL104"/>
    <mergeCell ref="AM104:AQ104"/>
    <mergeCell ref="AT104:BA104"/>
    <mergeCell ref="L105:P105"/>
    <mergeCell ref="Q105:X105"/>
    <mergeCell ref="Y105:AC105"/>
    <mergeCell ref="AD105:AL105"/>
    <mergeCell ref="AM105:AQ105"/>
    <mergeCell ref="AT105:BA105"/>
    <mergeCell ref="BI36:CD38"/>
    <mergeCell ref="BI40:BW41"/>
    <mergeCell ref="BX40:CB41"/>
    <mergeCell ref="BI43:BM45"/>
    <mergeCell ref="BI53:BM55"/>
    <mergeCell ref="BI61:BM64"/>
    <mergeCell ref="BI71:BM73"/>
    <mergeCell ref="BT45:CB47"/>
    <mergeCell ref="BT48:CB49"/>
    <mergeCell ref="BT50:CB51"/>
    <mergeCell ref="BT55:CB56"/>
    <mergeCell ref="BT57:CB58"/>
    <mergeCell ref="BT59:CB60"/>
    <mergeCell ref="BT64:CB65"/>
    <mergeCell ref="BT66:CB67"/>
    <mergeCell ref="BT68:CB70"/>
    <mergeCell ref="BI75:CB77"/>
    <mergeCell ref="BI80:CD82"/>
    <mergeCell ref="BL88:BP90"/>
    <mergeCell ref="BL91:BP91"/>
    <mergeCell ref="BV84:BV86"/>
    <mergeCell ref="BW84:BZ86"/>
    <mergeCell ref="CA84:CC86"/>
    <mergeCell ref="BW88:BZ88"/>
    <mergeCell ref="CA88:CC88"/>
    <mergeCell ref="BV91:BV93"/>
    <mergeCell ref="BW91:BZ93"/>
    <mergeCell ref="CA91:CC93"/>
    <mergeCell ref="BI98:CD99"/>
    <mergeCell ref="E109:X111"/>
    <mergeCell ref="AB109:AZ111"/>
    <mergeCell ref="BJ109:BN111"/>
    <mergeCell ref="BO109:BX111"/>
  </mergeCells>
  <conditionalFormatting sqref="AD43:AD105">
    <cfRule type="expression" dxfId="9" priority="14">
      <formula>$CI43=0</formula>
    </cfRule>
    <cfRule type="expression" dxfId="1" priority="18">
      <formula>$CI43=2</formula>
    </cfRule>
    <cfRule type="expression" dxfId="2" priority="19">
      <formula>$CI43=3</formula>
    </cfRule>
    <cfRule type="expression" dxfId="2" priority="20">
      <formula>$CI43=4</formula>
    </cfRule>
  </conditionalFormatting>
  <conditionalFormatting sqref="AR43:AR105">
    <cfRule type="expression" dxfId="0" priority="21">
      <formula>AND($CI43=1,OR(AR43="↑",AR43="↓"))</formula>
    </cfRule>
    <cfRule type="expression" dxfId="1" priority="22">
      <formula>AND($CI43=2,OR(AR43="↑",AR43="↓"))</formula>
    </cfRule>
    <cfRule type="expression" dxfId="2" priority="23">
      <formula>AND($CI43=3,OR(AR43="↑",AR43="↓"))</formula>
    </cfRule>
    <cfRule type="expression" dxfId="2" priority="24">
      <formula>AND($CI43=4,OR(AR43="↑",AR43="↓"))</formula>
    </cfRule>
  </conditionalFormatting>
  <conditionalFormatting sqref="CB8">
    <cfRule type="expression" dxfId="0" priority="1">
      <formula>AND(N(sys_LastImport)&gt;0,(NOW()-sys_LastImport)&lt;1)</formula>
    </cfRule>
    <cfRule type="expression" dxfId="1" priority="2">
      <formula>AND(N(sys_LastImport)&gt;0,(NOW()-sys_LastImport)&gt;=1,(NOW()-sys_LastImport)&lt;3)</formula>
    </cfRule>
    <cfRule type="expression" dxfId="2" priority="3">
      <formula>AND(N(sys_LastImport)&gt;0,(NOW()-sys_LastImport)&gt;=3)</formula>
    </cfRule>
  </conditionalFormatting>
  <conditionalFormatting sqref="E109">
    <cfRule type="expression" dxfId="9" priority="29">
      <formula>$CI$16=0</formula>
    </cfRule>
    <cfRule type="expression" dxfId="1" priority="30">
      <formula>$CI$16=2</formula>
    </cfRule>
    <cfRule type="expression" dxfId="2" priority="31">
      <formula>$CI$16=3</formula>
    </cfRule>
    <cfRule type="expression" dxfId="2" priority="32">
      <formula>$CI$16=4</formula>
    </cfRule>
  </conditionalFormatting>
  <conditionalFormatting sqref="O21">
    <cfRule type="expression" dxfId="9" priority="25">
      <formula>$CI$16=0</formula>
    </cfRule>
    <cfRule type="expression" dxfId="1" priority="26">
      <formula>$CI$16=2</formula>
    </cfRule>
    <cfRule type="expression" dxfId="2" priority="27">
      <formula>$CI$16=3</formula>
    </cfRule>
    <cfRule type="expression" dxfId="2" priority="28">
      <formula>$CI$16=4</formula>
    </cfRule>
  </conditionalFormatting>
  <conditionalFormatting sqref="Q43:Q105">
    <cfRule type="expression" dxfId="3" priority="4">
      <formula>AND($CI43=1,$CJ43=0)</formula>
    </cfRule>
    <cfRule type="expression" dxfId="4" priority="5">
      <formula>AND($CI43=1,$CJ43=1)</formula>
    </cfRule>
    <cfRule type="expression" dxfId="5" priority="6">
      <formula>AND($CI43=2,$CJ43=0)</formula>
    </cfRule>
    <cfRule type="expression" dxfId="6" priority="7">
      <formula>AND($CI43=2,$CJ43=1)</formula>
    </cfRule>
    <cfRule type="expression" dxfId="7" priority="8">
      <formula>AND($CI43=3,$CJ43=0)</formula>
    </cfRule>
    <cfRule type="expression" dxfId="8" priority="9">
      <formula>AND($CI43=3,$CJ43=1)</formula>
    </cfRule>
    <cfRule type="expression" dxfId="7" priority="10">
      <formula>AND($CI43=4,$CJ43=0)</formula>
    </cfRule>
    <cfRule type="expression" dxfId="8" priority="11">
      <formula>AND($CI43=4,$CJ43=1)</formula>
    </cfRule>
    <cfRule type="expression" dxfId="9" priority="12">
      <formula>$CI43=0</formula>
    </cfRule>
  </conditionalFormatting>
  <conditionalFormatting sqref="Y43:Y105">
    <cfRule type="expression" dxfId="9" priority="13">
      <formula>$CI43=0</formula>
    </cfRule>
    <cfRule type="expression" dxfId="1" priority="15">
      <formula>$CI43=2</formula>
    </cfRule>
    <cfRule type="expression" dxfId="2" priority="16">
      <formula>$CI43=3</formula>
    </cfRule>
    <cfRule type="expression" dxfId="2" priority="17">
      <formula>$CI43=4</formula>
    </cfRule>
  </conditionalFormatting>
  <dataValidations count="1">
    <dataValidation type="list" allowBlank="1" showInputMessage="1" showErrorMessage="1" errorTitle="Период" error="Выберите месяц из списка." sqref="M13:Q14">
      <formula1>lst_Months</formula1>
    </dataValidation>
  </dataValidations>
  <hyperlinks>
    <hyperlink ref="C18" location="'Сводка'!A1" tooltip="Сводка" display="СВОДКА"/>
    <hyperlink ref="C35" location="'СИКН'!A1" tooltip="СИКН" display="СИКН"/>
    <hyperlink ref="C46" location="'Тренды'!A1" tooltip="Тренды" display="ТРЕНДЫ"/>
    <hyperlink ref="C58" location="'Тревоги'!A1" tooltip="Тревоги" display="ТРЕВОГИ"/>
    <hyperlink ref="C69" location="'Отчеты'!A1" tooltip="Отчеты" display="ОТЧЕТЫ"/>
    <hyperlink ref="C82" location="'Настройки'!A1" tooltip="Настройки" display="НАСТРОЙКИ"/>
  </hyperlinks>
  <printOptions horizontalCentered="1"/>
  <pageMargins left="0.2" right="0.2" top="0.2" bottom="0.2" header="0.3" footer="0.3"/>
  <pageSetup paperSize="9" orientation="landscape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'Расчет'!L115:AP115</xm:f>
              <xm:sqref>AT105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'Расчет'!L114:AP114</xm:f>
              <xm:sqref>AT104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'Расчет'!L113:AP113</xm:f>
              <xm:sqref>AT103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'Расчет'!L112:AP112</xm:f>
              <xm:sqref>AT102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'Расчет'!L111:AP111</xm:f>
              <xm:sqref>AT101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'Расчет'!L110:AP110</xm:f>
              <xm:sqref>AT99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'Расчет'!L109:AP109</xm:f>
              <xm:sqref>AT97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'Расчет'!L108:AP108</xm:f>
              <xm:sqref>AT95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'Расчет'!L107:AP107</xm:f>
              <xm:sqref>AT93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'Расчет'!L106:AP106</xm:f>
              <xm:sqref>AT90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'Расчет'!L105:AP105</xm:f>
              <xm:sqref>AT88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'Расчет'!L104:AP104</xm:f>
              <xm:sqref>AT86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'Расчет'!L103:AP103</xm:f>
              <xm:sqref>AT82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'Расчет'!L102:AP102</xm:f>
              <xm:sqref>AT81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'Расчет'!L101:AP101</xm:f>
              <xm:sqref>AT77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'Расчет'!L100:AP100</xm:f>
              <xm:sqref>AT70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'Расчет'!L99:AP99</xm:f>
              <xm:sqref>AT67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'Расчет'!L98:AP98</xm:f>
              <xm:sqref>AT65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'Расчет'!L97:AP97</xm:f>
              <xm:sqref>AT60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'Расчет'!L96:AP96</xm:f>
              <xm:sqref>AT57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'Расчет'!L95:AP95</xm:f>
              <xm:sqref>AT54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'Расчет'!L94:AP94</xm:f>
              <xm:sqref>AT51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'Расчет'!L93:AP93</xm:f>
              <xm:sqref>AT47</xm:sqref>
            </x14:sparkline>
          </x14:sparklines>
        </x14:sparklineGroup>
        <x14:sparklineGroup lineWeight="1.0" displayEmptyCellsAs="gap" last="1">
          <x14:colorSeries rgb="FF4CC35A"/>
          <x14:colorNegative theme="5"/>
          <x14:colorAxis rgb="FF000000"/>
          <x14:colorMarkers theme="4" tint="-0.499984740745262"/>
          <x14:colorFirst theme="4" tint="0.39997558519241921"/>
          <x14:colorLast rgb="FF4CC35A"/>
          <x14:colorHigh theme="4"/>
          <x14:colorLow theme="4"/>
          <x14:sparklines>
            <x14:sparkline>
              <xm:f>'Расчет'!L92:AP92</xm:f>
              <xm:sqref>AT43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Obj">
    <tabColor rgb="FF1E3A47"/>
    <pageSetUpPr fitToPage="1"/>
  </sheetPr>
  <dimension ref="A1:XFD38"/>
  <sheetViews>
    <sheetView showGridLines="0" showRowColHeaders="0" zoomScale="85" zoomScaleNormal="85" workbookViewId="0"/>
  </sheetViews>
  <sheetFormatPr defaultRowHeight="15"/>
  <cols>
    <col min="1" max="1" width="1.42578125" style="1" customWidth="1"/>
    <col min="2" max="2" width="0.85546875" style="1" customWidth="1"/>
    <col min="3" max="3" width="1.42578125" style="1" customWidth="1"/>
    <col min="4" max="4" width="6" style="1" customWidth="1"/>
    <col min="5" max="5" width="3.7109375" style="1" customWidth="1"/>
    <col min="6" max="6" width="1.42578125" style="1" customWidth="1"/>
    <col min="7" max="7" width="0.85546875" style="1" customWidth="1"/>
    <col min="8" max="8" width="2.28515625" style="1" customWidth="1"/>
    <col min="9" max="9" width="3.42578125" style="1" customWidth="1"/>
    <col min="10" max="10" width="7.7109375" style="1" customWidth="1"/>
    <col min="11" max="11" width="1.140625" style="1" customWidth="1"/>
    <col min="12" max="12" width="2.28515625" style="1" customWidth="1"/>
    <col min="13" max="13" width="10.28515625" style="1" customWidth="1"/>
    <col min="14" max="14" width="51.42578125" style="1" customWidth="1"/>
    <col min="15" max="15" width="26.5703125" style="1" customWidth="1"/>
    <col min="16" max="16" width="27.7109375" style="1" customWidth="1"/>
    <col min="17" max="18" width="2.85546875" style="1" customWidth="1"/>
    <col min="19" max="19" width="4.28515625" style="1" customWidth="1"/>
    <col min="20" max="20" width="13.7109375" style="1" customWidth="1"/>
    <col min="21" max="21" width="20.85546875" style="1" customWidth="1"/>
    <col min="22" max="22" width="1.140625" style="1" customWidth="1"/>
    <col min="23" max="23" width="1.42578125" style="1" customWidth="1"/>
    <col min="24" max="24" width="0.28515625" style="1" customWidth="1"/>
    <col min="25" max="25" width="1.140625" style="1" customWidth="1"/>
    <col min="26" max="26" width="1.42578125" style="1" customWidth="1"/>
    <col min="27" max="16384" width="9.7109375" style="1" customWidth="1"/>
  </cols>
  <sheetData>
    <row r="1" spans="1:26" ht="9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3">
        <f>TODAY()</f>
        <v>46302.0</v>
      </c>
      <c r="U2" s="3"/>
      <c r="V2" s="3"/>
      <c r="W2" s="3"/>
      <c r="X2" s="2"/>
      <c r="Y2" s="2"/>
      <c r="Z2" s="2"/>
    </row>
    <row r="3" spans="1:26" ht="1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4" t="str">
        <f>cfg_Title</f>
        <v>СОДЕРЖАНИЕ ЛЕГКОЛЕТУЧИХ ХЛОРОРГАНИЧЕСКИХ СОЕДИНЕНИЙ ПО СИКН</v>
      </c>
      <c r="N3" s="4"/>
      <c r="O3" s="4"/>
      <c r="P3" s="4"/>
      <c r="Q3" s="4"/>
      <c r="R3" s="4"/>
      <c r="S3" s="2"/>
      <c r="T3" s="3"/>
      <c r="U3" s="3"/>
      <c r="V3" s="3"/>
      <c r="W3" s="3"/>
      <c r="X3" s="2"/>
      <c r="Y3" s="2"/>
      <c r="Z3" s="2"/>
    </row>
    <row r="4" spans="1:26" ht="3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5"/>
      <c r="M4" s="4"/>
      <c r="N4" s="4"/>
      <c r="O4" s="4"/>
      <c r="P4" s="4"/>
      <c r="Q4" s="4"/>
      <c r="R4" s="4"/>
      <c r="S4" s="2"/>
      <c r="T4" s="3"/>
      <c r="U4" s="3"/>
      <c r="V4" s="3"/>
      <c r="W4" s="3"/>
      <c r="X4" s="2"/>
      <c r="Y4" s="2"/>
      <c r="Z4" s="2"/>
    </row>
    <row r="5" spans="1:26" ht="18" customHeight="1">
      <c r="A5" s="2"/>
      <c r="B5" s="2"/>
      <c r="C5" s="2"/>
      <c r="D5" s="2"/>
      <c r="E5" s="6" t="s">
        <v>65</v>
      </c>
      <c r="F5" s="6"/>
      <c r="G5" s="6"/>
      <c r="H5" s="6"/>
      <c r="I5" s="6"/>
      <c r="J5" s="6"/>
      <c r="K5" s="2"/>
      <c r="L5" s="5"/>
      <c r="M5" s="4"/>
      <c r="N5" s="4"/>
      <c r="O5" s="4"/>
      <c r="P5" s="4"/>
      <c r="Q5" s="4"/>
      <c r="R5" s="4"/>
      <c r="S5" s="2"/>
      <c r="T5" s="3"/>
      <c r="U5" s="3"/>
      <c r="V5" s="3"/>
      <c r="W5" s="3"/>
      <c r="X5" s="2"/>
      <c r="Y5" s="2"/>
      <c r="Z5" s="2"/>
    </row>
    <row r="6" spans="1:26" ht="1.5" customHeight="1">
      <c r="A6" s="2"/>
      <c r="B6" s="2"/>
      <c r="C6" s="2"/>
      <c r="D6" s="2"/>
      <c r="E6" s="6"/>
      <c r="F6" s="6"/>
      <c r="G6" s="6"/>
      <c r="H6" s="6"/>
      <c r="I6" s="6"/>
      <c r="J6" s="6"/>
      <c r="K6" s="2"/>
      <c r="L6" s="5"/>
      <c r="M6" s="4"/>
      <c r="N6" s="4"/>
      <c r="O6" s="4"/>
      <c r="P6" s="4"/>
      <c r="Q6" s="4"/>
      <c r="R6" s="4"/>
      <c r="S6" s="2"/>
      <c r="T6" s="2"/>
      <c r="U6" s="2"/>
      <c r="V6" s="2"/>
      <c r="W6" s="2"/>
      <c r="X6" s="2"/>
      <c r="Y6" s="2"/>
      <c r="Z6" s="2"/>
    </row>
    <row r="7" spans="1:26" ht="1.5" customHeight="1">
      <c r="A7" s="2"/>
      <c r="B7" s="2"/>
      <c r="C7" s="2"/>
      <c r="D7" s="2"/>
      <c r="E7" s="6"/>
      <c r="F7" s="6"/>
      <c r="G7" s="6"/>
      <c r="H7" s="6"/>
      <c r="I7" s="6"/>
      <c r="J7" s="6"/>
      <c r="K7" s="2"/>
      <c r="L7" s="5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0.5" customHeight="1">
      <c r="A8" s="2"/>
      <c r="B8" s="2"/>
      <c r="C8" s="2"/>
      <c r="D8" s="2"/>
      <c r="E8" s="6"/>
      <c r="F8" s="6"/>
      <c r="G8" s="6"/>
      <c r="H8" s="6"/>
      <c r="I8" s="6"/>
      <c r="J8" s="6"/>
      <c r="K8" s="2"/>
      <c r="L8" s="5"/>
      <c r="M8" s="7" t="str">
        <f>cfg_Subtitle</f>
        <v>ОПЕРАТИВНАЯ СВОДКА</v>
      </c>
      <c r="N8" s="7"/>
      <c r="O8" s="7"/>
      <c r="P8" s="7"/>
      <c r="Q8" s="2"/>
      <c r="R8" s="8" t="str">
        <f>IF(N(sys_LastImport)=0,"Данные еще не загружались","Обновление: "&amp;IF(NOW()-sys_LastImport&lt;1/1440,"только что",IF(NOW()-sys_LastImport&lt;1/24,INT((NOW()-sys_LastImport)*1440)&amp;" мин назад",IF(NOW()-sys_LastImport&lt;1,INT((NOW()-sys_LastImport)*24)&amp;" ч "&amp;MOD(INT((NOW()-sys_LastImport)*1440),60)&amp;" мин назад",INT(NOW()-sys_LastImport)&amp;" дн "&amp;MOD(INT((NOW()-sys_LastImport)*24),24)&amp;" ч назад"))))</f>
        <v>Данные еще не загружались</v>
      </c>
      <c r="S8" s="8"/>
      <c r="T8" s="8"/>
      <c r="U8" s="8"/>
      <c r="V8" s="9" t="s">
        <v>66</v>
      </c>
      <c r="W8" s="9"/>
      <c r="X8" s="9"/>
      <c r="Y8" s="2"/>
      <c r="Z8" s="2"/>
    </row>
    <row r="9" spans="1:26" ht="6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5"/>
      <c r="M9" s="7"/>
      <c r="N9" s="7"/>
      <c r="O9" s="7"/>
      <c r="P9" s="7"/>
      <c r="Q9" s="2"/>
      <c r="R9" s="8"/>
      <c r="S9" s="8"/>
      <c r="T9" s="8"/>
      <c r="U9" s="8"/>
      <c r="V9" s="9"/>
      <c r="W9" s="9"/>
      <c r="X9" s="9"/>
      <c r="Y9" s="2"/>
      <c r="Z9" s="2"/>
    </row>
    <row r="10" spans="1:26" ht="1.5" customHeigh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5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6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9" customHeight="1"/>
    <row r="13" spans="1:26" ht="13.5" customHeight="1">
      <c r="B13" s="11"/>
      <c r="C13" s="12"/>
      <c r="D13" s="12"/>
      <c r="E13" s="12"/>
      <c r="F13" s="12"/>
      <c r="G13" s="13"/>
      <c r="I13" s="28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30"/>
    </row>
    <row r="14" spans="1:26" ht="30" customHeight="1">
      <c r="B14" s="20"/>
      <c r="C14" s="48"/>
      <c r="D14" s="48"/>
      <c r="E14" s="48"/>
      <c r="F14" s="48"/>
      <c r="G14" s="24"/>
      <c r="I14" s="31"/>
      <c r="J14" s="103" t="s">
        <v>102</v>
      </c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33"/>
      <c r="X14" s="33"/>
      <c r="Y14" s="34"/>
    </row>
    <row r="15" spans="1:26" ht="18" customHeight="1">
      <c r="B15" s="20"/>
      <c r="C15" s="59" t="s">
        <v>67</v>
      </c>
      <c r="D15" s="59"/>
      <c r="E15" s="59"/>
      <c r="F15" s="59"/>
      <c r="G15" s="24"/>
      <c r="I15" s="31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4"/>
    </row>
    <row r="16" spans="1:26" ht="9" customHeight="1">
      <c r="B16" s="20"/>
      <c r="C16" s="48"/>
      <c r="D16" s="49"/>
      <c r="E16" s="49"/>
      <c r="F16" s="48"/>
      <c r="G16" s="24"/>
      <c r="I16" s="31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4"/>
    </row>
    <row r="17" spans="2:25" ht="3" customHeight="1">
      <c r="B17" s="20"/>
      <c r="C17" s="48"/>
      <c r="D17" s="48"/>
      <c r="E17" s="48"/>
      <c r="F17" s="48"/>
      <c r="G17" s="24"/>
      <c r="I17" s="31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4"/>
    </row>
    <row r="18" spans="2:25" ht="37.5" customHeight="1">
      <c r="B18" s="20"/>
      <c r="C18" s="21"/>
      <c r="D18" s="22"/>
      <c r="E18" s="22"/>
      <c r="F18" s="23"/>
      <c r="G18" s="24"/>
      <c r="I18" s="31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4"/>
    </row>
    <row r="19" spans="2:25" ht="18" customHeight="1">
      <c r="B19" s="20"/>
      <c r="C19" s="35" t="s">
        <v>68</v>
      </c>
      <c r="D19" s="35"/>
      <c r="E19" s="35"/>
      <c r="F19" s="35"/>
      <c r="G19" s="24"/>
      <c r="I19" s="31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4"/>
    </row>
    <row r="20" spans="2:25" ht="6" customHeight="1">
      <c r="B20" s="20"/>
      <c r="C20" s="45"/>
      <c r="D20" s="46"/>
      <c r="E20" s="46"/>
      <c r="F20" s="47"/>
      <c r="G20" s="24"/>
      <c r="I20" s="31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4"/>
    </row>
    <row r="21" spans="2:25" ht="3" customHeight="1">
      <c r="B21" s="20"/>
      <c r="C21" s="48"/>
      <c r="D21" s="49"/>
      <c r="E21" s="49"/>
      <c r="F21" s="48"/>
      <c r="G21" s="24"/>
      <c r="I21" s="31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4"/>
    </row>
    <row r="22" spans="2:25" ht="40.5" customHeight="1">
      <c r="B22" s="20"/>
      <c r="C22" s="48"/>
      <c r="D22" s="48"/>
      <c r="E22" s="48"/>
      <c r="F22" s="48"/>
      <c r="G22" s="24"/>
      <c r="I22" s="31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4"/>
    </row>
    <row r="23" spans="2:25" ht="18" customHeight="1">
      <c r="B23" s="20"/>
      <c r="C23" s="59" t="s">
        <v>69</v>
      </c>
      <c r="D23" s="59"/>
      <c r="E23" s="59"/>
      <c r="F23" s="59"/>
      <c r="G23" s="24"/>
      <c r="I23" s="31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4"/>
    </row>
    <row r="24" spans="2:25" ht="9" customHeight="1">
      <c r="B24" s="20"/>
      <c r="C24" s="48"/>
      <c r="D24" s="49"/>
      <c r="E24" s="49"/>
      <c r="F24" s="48"/>
      <c r="G24" s="24"/>
      <c r="I24" s="31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4"/>
    </row>
    <row r="25" spans="2:25" ht="40.5" customHeight="1">
      <c r="B25" s="20"/>
      <c r="C25" s="48"/>
      <c r="D25" s="48"/>
      <c r="E25" s="48"/>
      <c r="F25" s="48"/>
      <c r="G25" s="24"/>
      <c r="I25" s="31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4"/>
    </row>
    <row r="26" spans="2:25" ht="18" customHeight="1">
      <c r="B26" s="20"/>
      <c r="C26" s="59" t="s">
        <v>70</v>
      </c>
      <c r="D26" s="59"/>
      <c r="E26" s="59"/>
      <c r="F26" s="59"/>
      <c r="G26" s="24"/>
      <c r="I26" s="31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4"/>
    </row>
    <row r="27" spans="2:25" ht="9" customHeight="1">
      <c r="B27" s="20"/>
      <c r="C27" s="48"/>
      <c r="D27" s="49"/>
      <c r="E27" s="49"/>
      <c r="F27" s="48"/>
      <c r="G27" s="24"/>
      <c r="I27" s="31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4"/>
    </row>
    <row r="28" spans="2:25" ht="25.5" customHeight="1">
      <c r="B28" s="20"/>
      <c r="C28" s="48"/>
      <c r="D28" s="48"/>
      <c r="E28" s="48"/>
      <c r="F28" s="48"/>
      <c r="G28" s="24"/>
      <c r="I28" s="31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4"/>
    </row>
    <row r="29" spans="2:25">
      <c r="B29" s="20"/>
      <c r="C29" s="48"/>
      <c r="D29" s="48"/>
      <c r="E29" s="48"/>
      <c r="F29" s="48"/>
      <c r="G29" s="24"/>
      <c r="I29" s="31"/>
      <c r="J29" s="33"/>
      <c r="K29" s="33"/>
      <c r="L29" s="33"/>
      <c r="M29" s="33"/>
      <c r="N29" s="104" t="s">
        <v>103</v>
      </c>
      <c r="O29" s="104"/>
      <c r="P29" s="104"/>
      <c r="Q29" s="104"/>
      <c r="R29" s="104"/>
      <c r="S29" s="104"/>
      <c r="T29" s="104"/>
      <c r="U29" s="33"/>
      <c r="V29" s="33"/>
      <c r="W29" s="33"/>
      <c r="X29" s="33"/>
      <c r="Y29" s="34"/>
    </row>
    <row r="30" spans="2:25">
      <c r="B30" s="20"/>
      <c r="C30" s="59" t="s">
        <v>71</v>
      </c>
      <c r="D30" s="59"/>
      <c r="E30" s="59"/>
      <c r="F30" s="59"/>
      <c r="G30" s="24"/>
      <c r="I30" s="31"/>
      <c r="J30" s="33"/>
      <c r="K30" s="33"/>
      <c r="L30" s="33"/>
      <c r="M30" s="33"/>
      <c r="N30" s="104"/>
      <c r="O30" s="104"/>
      <c r="P30" s="104"/>
      <c r="Q30" s="104"/>
      <c r="R30" s="104"/>
      <c r="S30" s="104"/>
      <c r="T30" s="104"/>
      <c r="U30" s="33"/>
      <c r="V30" s="33"/>
      <c r="W30" s="33"/>
      <c r="X30" s="33"/>
      <c r="Y30" s="34"/>
    </row>
    <row r="31" spans="2:25" ht="3" customHeight="1">
      <c r="B31" s="20"/>
      <c r="C31" s="59"/>
      <c r="D31" s="59"/>
      <c r="E31" s="59"/>
      <c r="F31" s="59"/>
      <c r="G31" s="24"/>
      <c r="I31" s="31"/>
      <c r="J31" s="33"/>
      <c r="K31" s="33"/>
      <c r="L31" s="33"/>
      <c r="M31" s="33"/>
      <c r="N31" s="105" t="s">
        <v>104</v>
      </c>
      <c r="O31" s="105"/>
      <c r="P31" s="105"/>
      <c r="Q31" s="105"/>
      <c r="R31" s="105"/>
      <c r="S31" s="105"/>
      <c r="T31" s="105"/>
      <c r="U31" s="33"/>
      <c r="V31" s="33"/>
      <c r="W31" s="33"/>
      <c r="X31" s="33"/>
      <c r="Y31" s="34"/>
    </row>
    <row r="32" spans="2:25" ht="9" customHeight="1">
      <c r="B32" s="20"/>
      <c r="C32" s="48"/>
      <c r="D32" s="49"/>
      <c r="E32" s="49"/>
      <c r="F32" s="48"/>
      <c r="G32" s="24"/>
      <c r="I32" s="31"/>
      <c r="J32" s="33"/>
      <c r="K32" s="33"/>
      <c r="L32" s="33"/>
      <c r="M32" s="33"/>
      <c r="N32" s="105"/>
      <c r="O32" s="105"/>
      <c r="P32" s="105"/>
      <c r="Q32" s="105"/>
      <c r="R32" s="105"/>
      <c r="S32" s="105"/>
      <c r="T32" s="105"/>
      <c r="U32" s="33"/>
      <c r="V32" s="33"/>
      <c r="W32" s="33"/>
      <c r="X32" s="33"/>
      <c r="Y32" s="34"/>
    </row>
    <row r="33" spans="2:25" ht="40.5" customHeight="1">
      <c r="B33" s="20"/>
      <c r="C33" s="48"/>
      <c r="D33" s="48"/>
      <c r="E33" s="48"/>
      <c r="F33" s="48"/>
      <c r="G33" s="24"/>
      <c r="I33" s="31"/>
      <c r="J33" s="33"/>
      <c r="K33" s="33"/>
      <c r="L33" s="33"/>
      <c r="M33" s="33"/>
      <c r="N33" s="105"/>
      <c r="O33" s="105"/>
      <c r="P33" s="105"/>
      <c r="Q33" s="105"/>
      <c r="R33" s="105"/>
      <c r="S33" s="105"/>
      <c r="T33" s="105"/>
      <c r="U33" s="33"/>
      <c r="V33" s="33"/>
      <c r="W33" s="33"/>
      <c r="X33" s="33"/>
      <c r="Y33" s="34"/>
    </row>
    <row r="34" spans="2:25">
      <c r="B34" s="20"/>
      <c r="C34" s="59" t="s">
        <v>72</v>
      </c>
      <c r="D34" s="59"/>
      <c r="E34" s="59"/>
      <c r="F34" s="59"/>
      <c r="G34" s="24"/>
      <c r="I34" s="31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4"/>
    </row>
    <row r="35" spans="2:25" ht="3" customHeight="1">
      <c r="B35" s="20"/>
      <c r="C35" s="59"/>
      <c r="D35" s="59"/>
      <c r="E35" s="59"/>
      <c r="F35" s="59"/>
      <c r="G35" s="24"/>
      <c r="I35" s="31"/>
      <c r="J35" s="33"/>
      <c r="K35" s="33"/>
      <c r="L35" s="33"/>
      <c r="M35" s="33"/>
      <c r="N35" s="33"/>
      <c r="O35" s="106" t="s">
        <v>105</v>
      </c>
      <c r="P35" s="33"/>
      <c r="Q35" s="33"/>
      <c r="R35" s="33"/>
      <c r="S35" s="33"/>
      <c r="T35" s="33"/>
      <c r="U35" s="33"/>
      <c r="V35" s="33"/>
      <c r="W35" s="33"/>
      <c r="X35" s="33"/>
      <c r="Y35" s="34"/>
    </row>
    <row r="36" spans="2:25" ht="21" customHeight="1">
      <c r="B36" s="20"/>
      <c r="C36" s="48"/>
      <c r="D36" s="48"/>
      <c r="E36" s="48"/>
      <c r="F36" s="48"/>
      <c r="G36" s="24"/>
      <c r="I36" s="31"/>
      <c r="J36" s="33"/>
      <c r="K36" s="33"/>
      <c r="L36" s="33"/>
      <c r="M36" s="33"/>
      <c r="N36" s="33"/>
      <c r="O36" s="106"/>
      <c r="P36" s="33"/>
      <c r="Q36" s="33"/>
      <c r="R36" s="33"/>
      <c r="S36" s="33"/>
      <c r="T36" s="33"/>
      <c r="U36" s="33"/>
      <c r="V36" s="33"/>
      <c r="W36" s="33"/>
      <c r="X36" s="33"/>
      <c r="Y36" s="34"/>
    </row>
    <row r="37" spans="2:25" ht="222" customHeight="1">
      <c r="B37" s="93"/>
      <c r="C37" s="94"/>
      <c r="D37" s="94"/>
      <c r="E37" s="94"/>
      <c r="F37" s="94"/>
      <c r="G37" s="95"/>
      <c r="I37" s="56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8"/>
    </row>
    <row r="38" spans="2:25" ht="9" customHeight="1"/>
  </sheetData>
  <mergeCells count="16">
    <mergeCell ref="E5:J8"/>
    <mergeCell ref="M3:R6"/>
    <mergeCell ref="M8:P9"/>
    <mergeCell ref="T2:W5"/>
    <mergeCell ref="R8:U9"/>
    <mergeCell ref="V8:X9"/>
    <mergeCell ref="C15:F15"/>
    <mergeCell ref="C19:F19"/>
    <mergeCell ref="C23:F23"/>
    <mergeCell ref="C26:F26"/>
    <mergeCell ref="C30:F31"/>
    <mergeCell ref="C34:F35"/>
    <mergeCell ref="J14:V14"/>
    <mergeCell ref="N29:T30"/>
    <mergeCell ref="N31:T33"/>
    <mergeCell ref="O35:O36"/>
  </mergeCells>
  <conditionalFormatting sqref="V8">
    <cfRule type="expression" dxfId="0" priority="1">
      <formula>AND(N(sys_LastImport)&gt;0,(NOW()-sys_LastImport)&lt;1)</formula>
    </cfRule>
    <cfRule type="expression" dxfId="1" priority="2">
      <formula>AND(N(sys_LastImport)&gt;0,(NOW()-sys_LastImport)&gt;=1,(NOW()-sys_LastImport)&lt;3)</formula>
    </cfRule>
    <cfRule type="expression" dxfId="2" priority="3">
      <formula>AND(N(sys_LastImport)&gt;0,(NOW()-sys_LastImport)&gt;=3)</formula>
    </cfRule>
  </conditionalFormatting>
  <hyperlinks>
    <hyperlink ref="C15" location="'Сводка'!A1" tooltip="Сводка" display="СВОДКА"/>
    <hyperlink ref="C19" location="'СИКН'!A1" tooltip="СИКН" display="СИКН"/>
    <hyperlink ref="C23" location="'Тренды'!A1" tooltip="Тренды" display="ТРЕНДЫ"/>
    <hyperlink ref="C26" location="'Тревоги'!A1" tooltip="Тревоги" display="ТРЕВОГИ"/>
    <hyperlink ref="C30" location="'Отчеты'!A1" tooltip="Отчеты" display="ОТЧЕТЫ"/>
    <hyperlink ref="C34" location="'Настройки'!A1" tooltip="Настройки" display="НАСТРОЙКИ"/>
    <hyperlink ref="O35" location="'Сводка'!A1" tooltip="Перейти на сводку" display="← К СВОДКЕ"/>
  </hyperlinks>
  <printOptions horizontalCentered="1"/>
  <pageMargins left="0.2" right="0.2" top="0.2" bottom="0.2" header="0.3" footer="0.3"/>
  <pageSetup paperSize="9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Trend">
    <tabColor rgb="FF1E3A47"/>
    <pageSetUpPr fitToPage="1"/>
  </sheetPr>
  <dimension ref="A1:XFD38"/>
  <sheetViews>
    <sheetView showGridLines="0" showRowColHeaders="0" zoomScale="85" zoomScaleNormal="85" workbookViewId="0"/>
  </sheetViews>
  <sheetFormatPr defaultRowHeight="15"/>
  <cols>
    <col min="1" max="1" width="1.42578125" style="1" customWidth="1"/>
    <col min="2" max="2" width="0.85546875" style="1" customWidth="1"/>
    <col min="3" max="3" width="1.42578125" style="1" customWidth="1"/>
    <col min="4" max="4" width="6" style="1" customWidth="1"/>
    <col min="5" max="5" width="3.7109375" style="1" customWidth="1"/>
    <col min="6" max="6" width="1.42578125" style="1" customWidth="1"/>
    <col min="7" max="7" width="0.85546875" style="1" customWidth="1"/>
    <col min="8" max="8" width="2.28515625" style="1" customWidth="1"/>
    <col min="9" max="9" width="3.42578125" style="1" customWidth="1"/>
    <col min="10" max="10" width="7.7109375" style="1" customWidth="1"/>
    <col min="11" max="11" width="1.140625" style="1" customWidth="1"/>
    <col min="12" max="12" width="2.28515625" style="1" customWidth="1"/>
    <col min="13" max="13" width="10.28515625" style="1" customWidth="1"/>
    <col min="14" max="14" width="51.42578125" style="1" customWidth="1"/>
    <col min="15" max="15" width="26.5703125" style="1" customWidth="1"/>
    <col min="16" max="16" width="27.7109375" style="1" customWidth="1"/>
    <col min="17" max="18" width="2.85546875" style="1" customWidth="1"/>
    <col min="19" max="19" width="4.28515625" style="1" customWidth="1"/>
    <col min="20" max="20" width="13.7109375" style="1" customWidth="1"/>
    <col min="21" max="21" width="20.85546875" style="1" customWidth="1"/>
    <col min="22" max="22" width="1.140625" style="1" customWidth="1"/>
    <col min="23" max="23" width="1.42578125" style="1" customWidth="1"/>
    <col min="24" max="24" width="0.28515625" style="1" customWidth="1"/>
    <col min="25" max="25" width="1.140625" style="1" customWidth="1"/>
    <col min="26" max="26" width="1.42578125" style="1" customWidth="1"/>
    <col min="27" max="16384" width="9.7109375" style="1" customWidth="1"/>
  </cols>
  <sheetData>
    <row r="1" spans="1:26" ht="9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3">
        <f>TODAY()</f>
        <v>46302.0</v>
      </c>
      <c r="U2" s="3"/>
      <c r="V2" s="3"/>
      <c r="W2" s="3"/>
      <c r="X2" s="2"/>
      <c r="Y2" s="2"/>
      <c r="Z2" s="2"/>
    </row>
    <row r="3" spans="1:26" ht="1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4" t="str">
        <f>cfg_Title</f>
        <v>СОДЕРЖАНИЕ ЛЕГКОЛЕТУЧИХ ХЛОРОРГАНИЧЕСКИХ СОЕДИНЕНИЙ ПО СИКН</v>
      </c>
      <c r="N3" s="4"/>
      <c r="O3" s="4"/>
      <c r="P3" s="4"/>
      <c r="Q3" s="4"/>
      <c r="R3" s="4"/>
      <c r="S3" s="2"/>
      <c r="T3" s="3"/>
      <c r="U3" s="3"/>
      <c r="V3" s="3"/>
      <c r="W3" s="3"/>
      <c r="X3" s="2"/>
      <c r="Y3" s="2"/>
      <c r="Z3" s="2"/>
    </row>
    <row r="4" spans="1:26" ht="3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5"/>
      <c r="M4" s="4"/>
      <c r="N4" s="4"/>
      <c r="O4" s="4"/>
      <c r="P4" s="4"/>
      <c r="Q4" s="4"/>
      <c r="R4" s="4"/>
      <c r="S4" s="2"/>
      <c r="T4" s="3"/>
      <c r="U4" s="3"/>
      <c r="V4" s="3"/>
      <c r="W4" s="3"/>
      <c r="X4" s="2"/>
      <c r="Y4" s="2"/>
      <c r="Z4" s="2"/>
    </row>
    <row r="5" spans="1:26" ht="18" customHeight="1">
      <c r="A5" s="2"/>
      <c r="B5" s="2"/>
      <c r="C5" s="2"/>
      <c r="D5" s="2"/>
      <c r="E5" s="6" t="s">
        <v>65</v>
      </c>
      <c r="F5" s="6"/>
      <c r="G5" s="6"/>
      <c r="H5" s="6"/>
      <c r="I5" s="6"/>
      <c r="J5" s="6"/>
      <c r="K5" s="2"/>
      <c r="L5" s="5"/>
      <c r="M5" s="4"/>
      <c r="N5" s="4"/>
      <c r="O5" s="4"/>
      <c r="P5" s="4"/>
      <c r="Q5" s="4"/>
      <c r="R5" s="4"/>
      <c r="S5" s="2"/>
      <c r="T5" s="3"/>
      <c r="U5" s="3"/>
      <c r="V5" s="3"/>
      <c r="W5" s="3"/>
      <c r="X5" s="2"/>
      <c r="Y5" s="2"/>
      <c r="Z5" s="2"/>
    </row>
    <row r="6" spans="1:26" ht="1.5" customHeight="1">
      <c r="A6" s="2"/>
      <c r="B6" s="2"/>
      <c r="C6" s="2"/>
      <c r="D6" s="2"/>
      <c r="E6" s="6"/>
      <c r="F6" s="6"/>
      <c r="G6" s="6"/>
      <c r="H6" s="6"/>
      <c r="I6" s="6"/>
      <c r="J6" s="6"/>
      <c r="K6" s="2"/>
      <c r="L6" s="5"/>
      <c r="M6" s="4"/>
      <c r="N6" s="4"/>
      <c r="O6" s="4"/>
      <c r="P6" s="4"/>
      <c r="Q6" s="4"/>
      <c r="R6" s="4"/>
      <c r="S6" s="2"/>
      <c r="T6" s="2"/>
      <c r="U6" s="2"/>
      <c r="V6" s="2"/>
      <c r="W6" s="2"/>
      <c r="X6" s="2"/>
      <c r="Y6" s="2"/>
      <c r="Z6" s="2"/>
    </row>
    <row r="7" spans="1:26" ht="1.5" customHeight="1">
      <c r="A7" s="2"/>
      <c r="B7" s="2"/>
      <c r="C7" s="2"/>
      <c r="D7" s="2"/>
      <c r="E7" s="6"/>
      <c r="F7" s="6"/>
      <c r="G7" s="6"/>
      <c r="H7" s="6"/>
      <c r="I7" s="6"/>
      <c r="J7" s="6"/>
      <c r="K7" s="2"/>
      <c r="L7" s="5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0.5" customHeight="1">
      <c r="A8" s="2"/>
      <c r="B8" s="2"/>
      <c r="C8" s="2"/>
      <c r="D8" s="2"/>
      <c r="E8" s="6"/>
      <c r="F8" s="6"/>
      <c r="G8" s="6"/>
      <c r="H8" s="6"/>
      <c r="I8" s="6"/>
      <c r="J8" s="6"/>
      <c r="K8" s="2"/>
      <c r="L8" s="5"/>
      <c r="M8" s="7" t="str">
        <f>cfg_Subtitle</f>
        <v>ОПЕРАТИВНАЯ СВОДКА</v>
      </c>
      <c r="N8" s="7"/>
      <c r="O8" s="7"/>
      <c r="P8" s="7"/>
      <c r="Q8" s="2"/>
      <c r="R8" s="8" t="str">
        <f>IF(N(sys_LastImport)=0,"Данные еще не загружались","Обновление: "&amp;IF(NOW()-sys_LastImport&lt;1/1440,"только что",IF(NOW()-sys_LastImport&lt;1/24,INT((NOW()-sys_LastImport)*1440)&amp;" мин назад",IF(NOW()-sys_LastImport&lt;1,INT((NOW()-sys_LastImport)*24)&amp;" ч "&amp;MOD(INT((NOW()-sys_LastImport)*1440),60)&amp;" мин назад",INT(NOW()-sys_LastImport)&amp;" дн "&amp;MOD(INT((NOW()-sys_LastImport)*24),24)&amp;" ч назад"))))</f>
        <v>Данные еще не загружались</v>
      </c>
      <c r="S8" s="8"/>
      <c r="T8" s="8"/>
      <c r="U8" s="8"/>
      <c r="V8" s="9" t="s">
        <v>66</v>
      </c>
      <c r="W8" s="9"/>
      <c r="X8" s="9"/>
      <c r="Y8" s="2"/>
      <c r="Z8" s="2"/>
    </row>
    <row r="9" spans="1:26" ht="6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5"/>
      <c r="M9" s="7"/>
      <c r="N9" s="7"/>
      <c r="O9" s="7"/>
      <c r="P9" s="7"/>
      <c r="Q9" s="2"/>
      <c r="R9" s="8"/>
      <c r="S9" s="8"/>
      <c r="T9" s="8"/>
      <c r="U9" s="8"/>
      <c r="V9" s="9"/>
      <c r="W9" s="9"/>
      <c r="X9" s="9"/>
      <c r="Y9" s="2"/>
      <c r="Z9" s="2"/>
    </row>
    <row r="10" spans="1:26" ht="1.5" customHeigh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5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6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9" customHeight="1"/>
    <row r="13" spans="1:26" ht="13.5" customHeight="1">
      <c r="B13" s="11"/>
      <c r="C13" s="12"/>
      <c r="D13" s="12"/>
      <c r="E13" s="12"/>
      <c r="F13" s="12"/>
      <c r="G13" s="13"/>
      <c r="I13" s="28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30"/>
    </row>
    <row r="14" spans="1:26" ht="30" customHeight="1">
      <c r="B14" s="20"/>
      <c r="C14" s="48"/>
      <c r="D14" s="48"/>
      <c r="E14" s="48"/>
      <c r="F14" s="48"/>
      <c r="G14" s="24"/>
      <c r="I14" s="31"/>
      <c r="J14" s="103" t="s">
        <v>106</v>
      </c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33"/>
      <c r="X14" s="33"/>
      <c r="Y14" s="34"/>
    </row>
    <row r="15" spans="1:26" ht="18" customHeight="1">
      <c r="B15" s="20"/>
      <c r="C15" s="59" t="s">
        <v>67</v>
      </c>
      <c r="D15" s="59"/>
      <c r="E15" s="59"/>
      <c r="F15" s="59"/>
      <c r="G15" s="24"/>
      <c r="I15" s="31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4"/>
    </row>
    <row r="16" spans="1:26" ht="9" customHeight="1">
      <c r="B16" s="20"/>
      <c r="C16" s="48"/>
      <c r="D16" s="49"/>
      <c r="E16" s="49"/>
      <c r="F16" s="48"/>
      <c r="G16" s="24"/>
      <c r="I16" s="31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4"/>
    </row>
    <row r="17" spans="2:25" ht="40.5" customHeight="1">
      <c r="B17" s="20"/>
      <c r="C17" s="48"/>
      <c r="D17" s="48"/>
      <c r="E17" s="48"/>
      <c r="F17" s="48"/>
      <c r="G17" s="24"/>
      <c r="I17" s="31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4"/>
    </row>
    <row r="18" spans="2:25" ht="18" customHeight="1">
      <c r="B18" s="20"/>
      <c r="C18" s="59" t="s">
        <v>68</v>
      </c>
      <c r="D18" s="59"/>
      <c r="E18" s="59"/>
      <c r="F18" s="59"/>
      <c r="G18" s="24"/>
      <c r="I18" s="31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4"/>
    </row>
    <row r="19" spans="2:25" ht="9" customHeight="1">
      <c r="B19" s="20"/>
      <c r="C19" s="48"/>
      <c r="D19" s="49"/>
      <c r="E19" s="49"/>
      <c r="F19" s="48"/>
      <c r="G19" s="24"/>
      <c r="I19" s="31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4"/>
    </row>
    <row r="20" spans="2:25" ht="3" customHeight="1">
      <c r="B20" s="20"/>
      <c r="C20" s="48"/>
      <c r="D20" s="48"/>
      <c r="E20" s="48"/>
      <c r="F20" s="48"/>
      <c r="G20" s="24"/>
      <c r="I20" s="31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4"/>
    </row>
    <row r="21" spans="2:25" ht="37.5" customHeight="1">
      <c r="B21" s="20"/>
      <c r="C21" s="21"/>
      <c r="D21" s="22"/>
      <c r="E21" s="22"/>
      <c r="F21" s="23"/>
      <c r="G21" s="24"/>
      <c r="I21" s="31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4"/>
    </row>
    <row r="22" spans="2:25" ht="18" customHeight="1">
      <c r="B22" s="20"/>
      <c r="C22" s="35" t="s">
        <v>69</v>
      </c>
      <c r="D22" s="35"/>
      <c r="E22" s="35"/>
      <c r="F22" s="35"/>
      <c r="G22" s="24"/>
      <c r="I22" s="31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4"/>
    </row>
    <row r="23" spans="2:25" ht="6" customHeight="1">
      <c r="B23" s="20"/>
      <c r="C23" s="45"/>
      <c r="D23" s="46"/>
      <c r="E23" s="46"/>
      <c r="F23" s="47"/>
      <c r="G23" s="24"/>
      <c r="I23" s="31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4"/>
    </row>
    <row r="24" spans="2:25" ht="3" customHeight="1">
      <c r="B24" s="20"/>
      <c r="C24" s="48"/>
      <c r="D24" s="49"/>
      <c r="E24" s="49"/>
      <c r="F24" s="48"/>
      <c r="G24" s="24"/>
      <c r="I24" s="31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4"/>
    </row>
    <row r="25" spans="2:25" ht="40.5" customHeight="1">
      <c r="B25" s="20"/>
      <c r="C25" s="48"/>
      <c r="D25" s="48"/>
      <c r="E25" s="48"/>
      <c r="F25" s="48"/>
      <c r="G25" s="24"/>
      <c r="I25" s="31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4"/>
    </row>
    <row r="26" spans="2:25" ht="18" customHeight="1">
      <c r="B26" s="20"/>
      <c r="C26" s="59" t="s">
        <v>70</v>
      </c>
      <c r="D26" s="59"/>
      <c r="E26" s="59"/>
      <c r="F26" s="59"/>
      <c r="G26" s="24"/>
      <c r="I26" s="31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4"/>
    </row>
    <row r="27" spans="2:25" ht="9" customHeight="1">
      <c r="B27" s="20"/>
      <c r="C27" s="48"/>
      <c r="D27" s="49"/>
      <c r="E27" s="49"/>
      <c r="F27" s="48"/>
      <c r="G27" s="24"/>
      <c r="I27" s="31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4"/>
    </row>
    <row r="28" spans="2:25" ht="25.5" customHeight="1">
      <c r="B28" s="20"/>
      <c r="C28" s="48"/>
      <c r="D28" s="48"/>
      <c r="E28" s="48"/>
      <c r="F28" s="48"/>
      <c r="G28" s="24"/>
      <c r="I28" s="31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4"/>
    </row>
    <row r="29" spans="2:25">
      <c r="B29" s="20"/>
      <c r="C29" s="48"/>
      <c r="D29" s="48"/>
      <c r="E29" s="48"/>
      <c r="F29" s="48"/>
      <c r="G29" s="24"/>
      <c r="I29" s="31"/>
      <c r="J29" s="33"/>
      <c r="K29" s="33"/>
      <c r="L29" s="33"/>
      <c r="M29" s="33"/>
      <c r="N29" s="104" t="s">
        <v>103</v>
      </c>
      <c r="O29" s="104"/>
      <c r="P29" s="104"/>
      <c r="Q29" s="104"/>
      <c r="R29" s="104"/>
      <c r="S29" s="104"/>
      <c r="T29" s="104"/>
      <c r="U29" s="33"/>
      <c r="V29" s="33"/>
      <c r="W29" s="33"/>
      <c r="X29" s="33"/>
      <c r="Y29" s="34"/>
    </row>
    <row r="30" spans="2:25">
      <c r="B30" s="20"/>
      <c r="C30" s="59" t="s">
        <v>71</v>
      </c>
      <c r="D30" s="59"/>
      <c r="E30" s="59"/>
      <c r="F30" s="59"/>
      <c r="G30" s="24"/>
      <c r="I30" s="31"/>
      <c r="J30" s="33"/>
      <c r="K30" s="33"/>
      <c r="L30" s="33"/>
      <c r="M30" s="33"/>
      <c r="N30" s="104"/>
      <c r="O30" s="104"/>
      <c r="P30" s="104"/>
      <c r="Q30" s="104"/>
      <c r="R30" s="104"/>
      <c r="S30" s="104"/>
      <c r="T30" s="104"/>
      <c r="U30" s="33"/>
      <c r="V30" s="33"/>
      <c r="W30" s="33"/>
      <c r="X30" s="33"/>
      <c r="Y30" s="34"/>
    </row>
    <row r="31" spans="2:25" ht="3" customHeight="1">
      <c r="B31" s="20"/>
      <c r="C31" s="59"/>
      <c r="D31" s="59"/>
      <c r="E31" s="59"/>
      <c r="F31" s="59"/>
      <c r="G31" s="24"/>
      <c r="I31" s="31"/>
      <c r="J31" s="33"/>
      <c r="K31" s="33"/>
      <c r="L31" s="33"/>
      <c r="M31" s="33"/>
      <c r="N31" s="105" t="s">
        <v>107</v>
      </c>
      <c r="O31" s="105"/>
      <c r="P31" s="105"/>
      <c r="Q31" s="105"/>
      <c r="R31" s="105"/>
      <c r="S31" s="105"/>
      <c r="T31" s="105"/>
      <c r="U31" s="33"/>
      <c r="V31" s="33"/>
      <c r="W31" s="33"/>
      <c r="X31" s="33"/>
      <c r="Y31" s="34"/>
    </row>
    <row r="32" spans="2:25" ht="9" customHeight="1">
      <c r="B32" s="20"/>
      <c r="C32" s="48"/>
      <c r="D32" s="49"/>
      <c r="E32" s="49"/>
      <c r="F32" s="48"/>
      <c r="G32" s="24"/>
      <c r="I32" s="31"/>
      <c r="J32" s="33"/>
      <c r="K32" s="33"/>
      <c r="L32" s="33"/>
      <c r="M32" s="33"/>
      <c r="N32" s="105"/>
      <c r="O32" s="105"/>
      <c r="P32" s="105"/>
      <c r="Q32" s="105"/>
      <c r="R32" s="105"/>
      <c r="S32" s="105"/>
      <c r="T32" s="105"/>
      <c r="U32" s="33"/>
      <c r="V32" s="33"/>
      <c r="W32" s="33"/>
      <c r="X32" s="33"/>
      <c r="Y32" s="34"/>
    </row>
    <row r="33" spans="2:25" ht="40.5" customHeight="1">
      <c r="B33" s="20"/>
      <c r="C33" s="48"/>
      <c r="D33" s="48"/>
      <c r="E33" s="48"/>
      <c r="F33" s="48"/>
      <c r="G33" s="24"/>
      <c r="I33" s="31"/>
      <c r="J33" s="33"/>
      <c r="K33" s="33"/>
      <c r="L33" s="33"/>
      <c r="M33" s="33"/>
      <c r="N33" s="105"/>
      <c r="O33" s="105"/>
      <c r="P33" s="105"/>
      <c r="Q33" s="105"/>
      <c r="R33" s="105"/>
      <c r="S33" s="105"/>
      <c r="T33" s="105"/>
      <c r="U33" s="33"/>
      <c r="V33" s="33"/>
      <c r="W33" s="33"/>
      <c r="X33" s="33"/>
      <c r="Y33" s="34"/>
    </row>
    <row r="34" spans="2:25">
      <c r="B34" s="20"/>
      <c r="C34" s="59" t="s">
        <v>72</v>
      </c>
      <c r="D34" s="59"/>
      <c r="E34" s="59"/>
      <c r="F34" s="59"/>
      <c r="G34" s="24"/>
      <c r="I34" s="31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4"/>
    </row>
    <row r="35" spans="2:25" ht="3" customHeight="1">
      <c r="B35" s="20"/>
      <c r="C35" s="59"/>
      <c r="D35" s="59"/>
      <c r="E35" s="59"/>
      <c r="F35" s="59"/>
      <c r="G35" s="24"/>
      <c r="I35" s="31"/>
      <c r="J35" s="33"/>
      <c r="K35" s="33"/>
      <c r="L35" s="33"/>
      <c r="M35" s="33"/>
      <c r="N35" s="33"/>
      <c r="O35" s="106" t="s">
        <v>105</v>
      </c>
      <c r="P35" s="33"/>
      <c r="Q35" s="33"/>
      <c r="R35" s="33"/>
      <c r="S35" s="33"/>
      <c r="T35" s="33"/>
      <c r="U35" s="33"/>
      <c r="V35" s="33"/>
      <c r="W35" s="33"/>
      <c r="X35" s="33"/>
      <c r="Y35" s="34"/>
    </row>
    <row r="36" spans="2:25" ht="21" customHeight="1">
      <c r="B36" s="20"/>
      <c r="C36" s="48"/>
      <c r="D36" s="48"/>
      <c r="E36" s="48"/>
      <c r="F36" s="48"/>
      <c r="G36" s="24"/>
      <c r="I36" s="31"/>
      <c r="J36" s="33"/>
      <c r="K36" s="33"/>
      <c r="L36" s="33"/>
      <c r="M36" s="33"/>
      <c r="N36" s="33"/>
      <c r="O36" s="106"/>
      <c r="P36" s="33"/>
      <c r="Q36" s="33"/>
      <c r="R36" s="33"/>
      <c r="S36" s="33"/>
      <c r="T36" s="33"/>
      <c r="U36" s="33"/>
      <c r="V36" s="33"/>
      <c r="W36" s="33"/>
      <c r="X36" s="33"/>
      <c r="Y36" s="34"/>
    </row>
    <row r="37" spans="2:25" ht="222" customHeight="1">
      <c r="B37" s="93"/>
      <c r="C37" s="94"/>
      <c r="D37" s="94"/>
      <c r="E37" s="94"/>
      <c r="F37" s="94"/>
      <c r="G37" s="95"/>
      <c r="I37" s="56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8"/>
    </row>
    <row r="38" spans="2:25" ht="9" customHeight="1"/>
  </sheetData>
  <mergeCells count="16">
    <mergeCell ref="E5:J8"/>
    <mergeCell ref="M3:R6"/>
    <mergeCell ref="M8:P9"/>
    <mergeCell ref="T2:W5"/>
    <mergeCell ref="R8:U9"/>
    <mergeCell ref="V8:X9"/>
    <mergeCell ref="C15:F15"/>
    <mergeCell ref="C18:F18"/>
    <mergeCell ref="C22:F22"/>
    <mergeCell ref="C26:F26"/>
    <mergeCell ref="C30:F31"/>
    <mergeCell ref="C34:F35"/>
    <mergeCell ref="J14:V14"/>
    <mergeCell ref="N29:T30"/>
    <mergeCell ref="N31:T33"/>
    <mergeCell ref="O35:O36"/>
  </mergeCells>
  <conditionalFormatting sqref="V8">
    <cfRule type="expression" dxfId="0" priority="1">
      <formula>AND(N(sys_LastImport)&gt;0,(NOW()-sys_LastImport)&lt;1)</formula>
    </cfRule>
    <cfRule type="expression" dxfId="1" priority="2">
      <formula>AND(N(sys_LastImport)&gt;0,(NOW()-sys_LastImport)&gt;=1,(NOW()-sys_LastImport)&lt;3)</formula>
    </cfRule>
    <cfRule type="expression" dxfId="2" priority="3">
      <formula>AND(N(sys_LastImport)&gt;0,(NOW()-sys_LastImport)&gt;=3)</formula>
    </cfRule>
  </conditionalFormatting>
  <hyperlinks>
    <hyperlink ref="C15" location="'Сводка'!A1" tooltip="Сводка" display="СВОДКА"/>
    <hyperlink ref="C18" location="'СИКН'!A1" tooltip="СИКН" display="СИКН"/>
    <hyperlink ref="C22" location="'Тренды'!A1" tooltip="Тренды" display="ТРЕНДЫ"/>
    <hyperlink ref="C26" location="'Тревоги'!A1" tooltip="Тревоги" display="ТРЕВОГИ"/>
    <hyperlink ref="C30" location="'Отчеты'!A1" tooltip="Отчеты" display="ОТЧЕТЫ"/>
    <hyperlink ref="C34" location="'Настройки'!A1" tooltip="Настройки" display="НАСТРОЙКИ"/>
    <hyperlink ref="O35" location="'Сводка'!A1" tooltip="Перейти на сводку" display="← К СВОДКЕ"/>
  </hyperlinks>
  <printOptions horizontalCentered="1"/>
  <pageMargins left="0.2" right="0.2" top="0.2" bottom="0.2" header="0.3" footer="0.3"/>
  <pageSetup paperSize="9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Alarm">
    <tabColor rgb="FF1E3A47"/>
    <pageSetUpPr fitToPage="1"/>
  </sheetPr>
  <dimension ref="A1:XFD38"/>
  <sheetViews>
    <sheetView showGridLines="0" showRowColHeaders="0" zoomScale="85" zoomScaleNormal="85" workbookViewId="0"/>
  </sheetViews>
  <sheetFormatPr defaultRowHeight="15"/>
  <cols>
    <col min="1" max="1" width="1.42578125" style="1" customWidth="1"/>
    <col min="2" max="2" width="0.85546875" style="1" customWidth="1"/>
    <col min="3" max="3" width="1.42578125" style="1" customWidth="1"/>
    <col min="4" max="4" width="6" style="1" customWidth="1"/>
    <col min="5" max="5" width="3.7109375" style="1" customWidth="1"/>
    <col min="6" max="6" width="1.42578125" style="1" customWidth="1"/>
    <col min="7" max="7" width="0.85546875" style="1" customWidth="1"/>
    <col min="8" max="8" width="2.28515625" style="1" customWidth="1"/>
    <col min="9" max="9" width="3.42578125" style="1" customWidth="1"/>
    <col min="10" max="10" width="7.7109375" style="1" customWidth="1"/>
    <col min="11" max="11" width="1.140625" style="1" customWidth="1"/>
    <col min="12" max="12" width="2.28515625" style="1" customWidth="1"/>
    <col min="13" max="13" width="10.28515625" style="1" customWidth="1"/>
    <col min="14" max="14" width="51.42578125" style="1" customWidth="1"/>
    <col min="15" max="15" width="26.5703125" style="1" customWidth="1"/>
    <col min="16" max="16" width="27.7109375" style="1" customWidth="1"/>
    <col min="17" max="18" width="2.85546875" style="1" customWidth="1"/>
    <col min="19" max="19" width="4.28515625" style="1" customWidth="1"/>
    <col min="20" max="20" width="13.7109375" style="1" customWidth="1"/>
    <col min="21" max="21" width="20.85546875" style="1" customWidth="1"/>
    <col min="22" max="22" width="1.140625" style="1" customWidth="1"/>
    <col min="23" max="23" width="1.42578125" style="1" customWidth="1"/>
    <col min="24" max="24" width="0.28515625" style="1" customWidth="1"/>
    <col min="25" max="25" width="1.140625" style="1" customWidth="1"/>
    <col min="26" max="26" width="1.42578125" style="1" customWidth="1"/>
    <col min="27" max="16384" width="9.7109375" style="1" customWidth="1"/>
  </cols>
  <sheetData>
    <row r="1" spans="1:26" ht="9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3">
        <f>TODAY()</f>
        <v>46302.0</v>
      </c>
      <c r="U2" s="3"/>
      <c r="V2" s="3"/>
      <c r="W2" s="3"/>
      <c r="X2" s="2"/>
      <c r="Y2" s="2"/>
      <c r="Z2" s="2"/>
    </row>
    <row r="3" spans="1:26" ht="1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4" t="str">
        <f>cfg_Title</f>
        <v>СОДЕРЖАНИЕ ЛЕГКОЛЕТУЧИХ ХЛОРОРГАНИЧЕСКИХ СОЕДИНЕНИЙ ПО СИКН</v>
      </c>
      <c r="N3" s="4"/>
      <c r="O3" s="4"/>
      <c r="P3" s="4"/>
      <c r="Q3" s="4"/>
      <c r="R3" s="4"/>
      <c r="S3" s="2"/>
      <c r="T3" s="3"/>
      <c r="U3" s="3"/>
      <c r="V3" s="3"/>
      <c r="W3" s="3"/>
      <c r="X3" s="2"/>
      <c r="Y3" s="2"/>
      <c r="Z3" s="2"/>
    </row>
    <row r="4" spans="1:26" ht="3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5"/>
      <c r="M4" s="4"/>
      <c r="N4" s="4"/>
      <c r="O4" s="4"/>
      <c r="P4" s="4"/>
      <c r="Q4" s="4"/>
      <c r="R4" s="4"/>
      <c r="S4" s="2"/>
      <c r="T4" s="3"/>
      <c r="U4" s="3"/>
      <c r="V4" s="3"/>
      <c r="W4" s="3"/>
      <c r="X4" s="2"/>
      <c r="Y4" s="2"/>
      <c r="Z4" s="2"/>
    </row>
    <row r="5" spans="1:26" ht="18" customHeight="1">
      <c r="A5" s="2"/>
      <c r="B5" s="2"/>
      <c r="C5" s="2"/>
      <c r="D5" s="2"/>
      <c r="E5" s="6" t="s">
        <v>65</v>
      </c>
      <c r="F5" s="6"/>
      <c r="G5" s="6"/>
      <c r="H5" s="6"/>
      <c r="I5" s="6"/>
      <c r="J5" s="6"/>
      <c r="K5" s="2"/>
      <c r="L5" s="5"/>
      <c r="M5" s="4"/>
      <c r="N5" s="4"/>
      <c r="O5" s="4"/>
      <c r="P5" s="4"/>
      <c r="Q5" s="4"/>
      <c r="R5" s="4"/>
      <c r="S5" s="2"/>
      <c r="T5" s="3"/>
      <c r="U5" s="3"/>
      <c r="V5" s="3"/>
      <c r="W5" s="3"/>
      <c r="X5" s="2"/>
      <c r="Y5" s="2"/>
      <c r="Z5" s="2"/>
    </row>
    <row r="6" spans="1:26" ht="1.5" customHeight="1">
      <c r="A6" s="2"/>
      <c r="B6" s="2"/>
      <c r="C6" s="2"/>
      <c r="D6" s="2"/>
      <c r="E6" s="6"/>
      <c r="F6" s="6"/>
      <c r="G6" s="6"/>
      <c r="H6" s="6"/>
      <c r="I6" s="6"/>
      <c r="J6" s="6"/>
      <c r="K6" s="2"/>
      <c r="L6" s="5"/>
      <c r="M6" s="4"/>
      <c r="N6" s="4"/>
      <c r="O6" s="4"/>
      <c r="P6" s="4"/>
      <c r="Q6" s="4"/>
      <c r="R6" s="4"/>
      <c r="S6" s="2"/>
      <c r="T6" s="2"/>
      <c r="U6" s="2"/>
      <c r="V6" s="2"/>
      <c r="W6" s="2"/>
      <c r="X6" s="2"/>
      <c r="Y6" s="2"/>
      <c r="Z6" s="2"/>
    </row>
    <row r="7" spans="1:26" ht="1.5" customHeight="1">
      <c r="A7" s="2"/>
      <c r="B7" s="2"/>
      <c r="C7" s="2"/>
      <c r="D7" s="2"/>
      <c r="E7" s="6"/>
      <c r="F7" s="6"/>
      <c r="G7" s="6"/>
      <c r="H7" s="6"/>
      <c r="I7" s="6"/>
      <c r="J7" s="6"/>
      <c r="K7" s="2"/>
      <c r="L7" s="5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0.5" customHeight="1">
      <c r="A8" s="2"/>
      <c r="B8" s="2"/>
      <c r="C8" s="2"/>
      <c r="D8" s="2"/>
      <c r="E8" s="6"/>
      <c r="F8" s="6"/>
      <c r="G8" s="6"/>
      <c r="H8" s="6"/>
      <c r="I8" s="6"/>
      <c r="J8" s="6"/>
      <c r="K8" s="2"/>
      <c r="L8" s="5"/>
      <c r="M8" s="7" t="str">
        <f>cfg_Subtitle</f>
        <v>ОПЕРАТИВНАЯ СВОДКА</v>
      </c>
      <c r="N8" s="7"/>
      <c r="O8" s="7"/>
      <c r="P8" s="7"/>
      <c r="Q8" s="2"/>
      <c r="R8" s="8" t="str">
        <f>IF(N(sys_LastImport)=0,"Данные еще не загружались","Обновление: "&amp;IF(NOW()-sys_LastImport&lt;1/1440,"только что",IF(NOW()-sys_LastImport&lt;1/24,INT((NOW()-sys_LastImport)*1440)&amp;" мин назад",IF(NOW()-sys_LastImport&lt;1,INT((NOW()-sys_LastImport)*24)&amp;" ч "&amp;MOD(INT((NOW()-sys_LastImport)*1440),60)&amp;" мин назад",INT(NOW()-sys_LastImport)&amp;" дн "&amp;MOD(INT((NOW()-sys_LastImport)*24),24)&amp;" ч назад"))))</f>
        <v>Данные еще не загружались</v>
      </c>
      <c r="S8" s="8"/>
      <c r="T8" s="8"/>
      <c r="U8" s="8"/>
      <c r="V8" s="9" t="s">
        <v>66</v>
      </c>
      <c r="W8" s="9"/>
      <c r="X8" s="9"/>
      <c r="Y8" s="2"/>
      <c r="Z8" s="2"/>
    </row>
    <row r="9" spans="1:26" ht="6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5"/>
      <c r="M9" s="7"/>
      <c r="N9" s="7"/>
      <c r="O9" s="7"/>
      <c r="P9" s="7"/>
      <c r="Q9" s="2"/>
      <c r="R9" s="8"/>
      <c r="S9" s="8"/>
      <c r="T9" s="8"/>
      <c r="U9" s="8"/>
      <c r="V9" s="9"/>
      <c r="W9" s="9"/>
      <c r="X9" s="9"/>
      <c r="Y9" s="2"/>
      <c r="Z9" s="2"/>
    </row>
    <row r="10" spans="1:26" ht="1.5" customHeigh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5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6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9" customHeight="1"/>
    <row r="13" spans="1:26" ht="13.5" customHeight="1">
      <c r="B13" s="11"/>
      <c r="C13" s="12"/>
      <c r="D13" s="12"/>
      <c r="E13" s="12"/>
      <c r="F13" s="12"/>
      <c r="G13" s="13"/>
      <c r="I13" s="28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30"/>
    </row>
    <row r="14" spans="1:26" ht="30" customHeight="1">
      <c r="B14" s="20"/>
      <c r="C14" s="48"/>
      <c r="D14" s="48"/>
      <c r="E14" s="48"/>
      <c r="F14" s="48"/>
      <c r="G14" s="24"/>
      <c r="I14" s="31"/>
      <c r="J14" s="103" t="s">
        <v>108</v>
      </c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33"/>
      <c r="X14" s="33"/>
      <c r="Y14" s="34"/>
    </row>
    <row r="15" spans="1:26" ht="18" customHeight="1">
      <c r="B15" s="20"/>
      <c r="C15" s="59" t="s">
        <v>67</v>
      </c>
      <c r="D15" s="59"/>
      <c r="E15" s="59"/>
      <c r="F15" s="59"/>
      <c r="G15" s="24"/>
      <c r="I15" s="31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4"/>
    </row>
    <row r="16" spans="1:26" ht="9" customHeight="1">
      <c r="B16" s="20"/>
      <c r="C16" s="48"/>
      <c r="D16" s="49"/>
      <c r="E16" s="49"/>
      <c r="F16" s="48"/>
      <c r="G16" s="24"/>
      <c r="I16" s="31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4"/>
    </row>
    <row r="17" spans="2:25" ht="40.5" customHeight="1">
      <c r="B17" s="20"/>
      <c r="C17" s="48"/>
      <c r="D17" s="48"/>
      <c r="E17" s="48"/>
      <c r="F17" s="48"/>
      <c r="G17" s="24"/>
      <c r="I17" s="31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4"/>
    </row>
    <row r="18" spans="2:25" ht="18" customHeight="1">
      <c r="B18" s="20"/>
      <c r="C18" s="59" t="s">
        <v>68</v>
      </c>
      <c r="D18" s="59"/>
      <c r="E18" s="59"/>
      <c r="F18" s="59"/>
      <c r="G18" s="24"/>
      <c r="I18" s="31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4"/>
    </row>
    <row r="19" spans="2:25" ht="9" customHeight="1">
      <c r="B19" s="20"/>
      <c r="C19" s="48"/>
      <c r="D19" s="49"/>
      <c r="E19" s="49"/>
      <c r="F19" s="48"/>
      <c r="G19" s="24"/>
      <c r="I19" s="31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4"/>
    </row>
    <row r="20" spans="2:25" ht="40.5" customHeight="1">
      <c r="B20" s="20"/>
      <c r="C20" s="48"/>
      <c r="D20" s="48"/>
      <c r="E20" s="48"/>
      <c r="F20" s="48"/>
      <c r="G20" s="24"/>
      <c r="I20" s="31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4"/>
    </row>
    <row r="21" spans="2:25" ht="18" customHeight="1">
      <c r="B21" s="20"/>
      <c r="C21" s="59" t="s">
        <v>69</v>
      </c>
      <c r="D21" s="59"/>
      <c r="E21" s="59"/>
      <c r="F21" s="59"/>
      <c r="G21" s="24"/>
      <c r="I21" s="31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4"/>
    </row>
    <row r="22" spans="2:25" ht="9" customHeight="1">
      <c r="B22" s="20"/>
      <c r="C22" s="48"/>
      <c r="D22" s="49"/>
      <c r="E22" s="49"/>
      <c r="F22" s="48"/>
      <c r="G22" s="24"/>
      <c r="I22" s="31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4"/>
    </row>
    <row r="23" spans="2:25" ht="3" customHeight="1">
      <c r="B23" s="20"/>
      <c r="C23" s="48"/>
      <c r="D23" s="48"/>
      <c r="E23" s="48"/>
      <c r="F23" s="48"/>
      <c r="G23" s="24"/>
      <c r="I23" s="31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4"/>
    </row>
    <row r="24" spans="2:25" ht="37.5" customHeight="1">
      <c r="B24" s="20"/>
      <c r="C24" s="21"/>
      <c r="D24" s="22"/>
      <c r="E24" s="22"/>
      <c r="F24" s="23"/>
      <c r="G24" s="24"/>
      <c r="I24" s="31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4"/>
    </row>
    <row r="25" spans="2:25" ht="18" customHeight="1">
      <c r="B25" s="20"/>
      <c r="C25" s="35" t="s">
        <v>70</v>
      </c>
      <c r="D25" s="35"/>
      <c r="E25" s="35"/>
      <c r="F25" s="35"/>
      <c r="G25" s="24"/>
      <c r="I25" s="31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4"/>
    </row>
    <row r="26" spans="2:25" ht="6" customHeight="1">
      <c r="B26" s="20"/>
      <c r="C26" s="45"/>
      <c r="D26" s="46"/>
      <c r="E26" s="46"/>
      <c r="F26" s="47"/>
      <c r="G26" s="24"/>
      <c r="I26" s="31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4"/>
    </row>
    <row r="27" spans="2:25" ht="3" customHeight="1">
      <c r="B27" s="20"/>
      <c r="C27" s="48"/>
      <c r="D27" s="49"/>
      <c r="E27" s="49"/>
      <c r="F27" s="48"/>
      <c r="G27" s="24"/>
      <c r="I27" s="31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4"/>
    </row>
    <row r="28" spans="2:25" ht="25.5" customHeight="1">
      <c r="B28" s="20"/>
      <c r="C28" s="48"/>
      <c r="D28" s="48"/>
      <c r="E28" s="48"/>
      <c r="F28" s="48"/>
      <c r="G28" s="24"/>
      <c r="I28" s="31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4"/>
    </row>
    <row r="29" spans="2:25">
      <c r="B29" s="20"/>
      <c r="C29" s="48"/>
      <c r="D29" s="48"/>
      <c r="E29" s="48"/>
      <c r="F29" s="48"/>
      <c r="G29" s="24"/>
      <c r="I29" s="31"/>
      <c r="J29" s="33"/>
      <c r="K29" s="33"/>
      <c r="L29" s="33"/>
      <c r="M29" s="33"/>
      <c r="N29" s="104" t="s">
        <v>103</v>
      </c>
      <c r="O29" s="104"/>
      <c r="P29" s="104"/>
      <c r="Q29" s="104"/>
      <c r="R29" s="104"/>
      <c r="S29" s="104"/>
      <c r="T29" s="104"/>
      <c r="U29" s="33"/>
      <c r="V29" s="33"/>
      <c r="W29" s="33"/>
      <c r="X29" s="33"/>
      <c r="Y29" s="34"/>
    </row>
    <row r="30" spans="2:25">
      <c r="B30" s="20"/>
      <c r="C30" s="59" t="s">
        <v>71</v>
      </c>
      <c r="D30" s="59"/>
      <c r="E30" s="59"/>
      <c r="F30" s="59"/>
      <c r="G30" s="24"/>
      <c r="I30" s="31"/>
      <c r="J30" s="33"/>
      <c r="K30" s="33"/>
      <c r="L30" s="33"/>
      <c r="M30" s="33"/>
      <c r="N30" s="104"/>
      <c r="O30" s="104"/>
      <c r="P30" s="104"/>
      <c r="Q30" s="104"/>
      <c r="R30" s="104"/>
      <c r="S30" s="104"/>
      <c r="T30" s="104"/>
      <c r="U30" s="33"/>
      <c r="V30" s="33"/>
      <c r="W30" s="33"/>
      <c r="X30" s="33"/>
      <c r="Y30" s="34"/>
    </row>
    <row r="31" spans="2:25" ht="3" customHeight="1">
      <c r="B31" s="20"/>
      <c r="C31" s="59"/>
      <c r="D31" s="59"/>
      <c r="E31" s="59"/>
      <c r="F31" s="59"/>
      <c r="G31" s="24"/>
      <c r="I31" s="31"/>
      <c r="J31" s="33"/>
      <c r="K31" s="33"/>
      <c r="L31" s="33"/>
      <c r="M31" s="33"/>
      <c r="N31" s="105" t="s">
        <v>109</v>
      </c>
      <c r="O31" s="105"/>
      <c r="P31" s="105"/>
      <c r="Q31" s="105"/>
      <c r="R31" s="105"/>
      <c r="S31" s="105"/>
      <c r="T31" s="105"/>
      <c r="U31" s="33"/>
      <c r="V31" s="33"/>
      <c r="W31" s="33"/>
      <c r="X31" s="33"/>
      <c r="Y31" s="34"/>
    </row>
    <row r="32" spans="2:25" ht="9" customHeight="1">
      <c r="B32" s="20"/>
      <c r="C32" s="48"/>
      <c r="D32" s="49"/>
      <c r="E32" s="49"/>
      <c r="F32" s="48"/>
      <c r="G32" s="24"/>
      <c r="I32" s="31"/>
      <c r="J32" s="33"/>
      <c r="K32" s="33"/>
      <c r="L32" s="33"/>
      <c r="M32" s="33"/>
      <c r="N32" s="105"/>
      <c r="O32" s="105"/>
      <c r="P32" s="105"/>
      <c r="Q32" s="105"/>
      <c r="R32" s="105"/>
      <c r="S32" s="105"/>
      <c r="T32" s="105"/>
      <c r="U32" s="33"/>
      <c r="V32" s="33"/>
      <c r="W32" s="33"/>
      <c r="X32" s="33"/>
      <c r="Y32" s="34"/>
    </row>
    <row r="33" spans="2:25" ht="40.5" customHeight="1">
      <c r="B33" s="20"/>
      <c r="C33" s="48"/>
      <c r="D33" s="48"/>
      <c r="E33" s="48"/>
      <c r="F33" s="48"/>
      <c r="G33" s="24"/>
      <c r="I33" s="31"/>
      <c r="J33" s="33"/>
      <c r="K33" s="33"/>
      <c r="L33" s="33"/>
      <c r="M33" s="33"/>
      <c r="N33" s="105"/>
      <c r="O33" s="105"/>
      <c r="P33" s="105"/>
      <c r="Q33" s="105"/>
      <c r="R33" s="105"/>
      <c r="S33" s="105"/>
      <c r="T33" s="105"/>
      <c r="U33" s="33"/>
      <c r="V33" s="33"/>
      <c r="W33" s="33"/>
      <c r="X33" s="33"/>
      <c r="Y33" s="34"/>
    </row>
    <row r="34" spans="2:25">
      <c r="B34" s="20"/>
      <c r="C34" s="59" t="s">
        <v>72</v>
      </c>
      <c r="D34" s="59"/>
      <c r="E34" s="59"/>
      <c r="F34" s="59"/>
      <c r="G34" s="24"/>
      <c r="I34" s="31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4"/>
    </row>
    <row r="35" spans="2:25" ht="3" customHeight="1">
      <c r="B35" s="20"/>
      <c r="C35" s="59"/>
      <c r="D35" s="59"/>
      <c r="E35" s="59"/>
      <c r="F35" s="59"/>
      <c r="G35" s="24"/>
      <c r="I35" s="31"/>
      <c r="J35" s="33"/>
      <c r="K35" s="33"/>
      <c r="L35" s="33"/>
      <c r="M35" s="33"/>
      <c r="N35" s="33"/>
      <c r="O35" s="106" t="s">
        <v>105</v>
      </c>
      <c r="P35" s="33"/>
      <c r="Q35" s="33"/>
      <c r="R35" s="33"/>
      <c r="S35" s="33"/>
      <c r="T35" s="33"/>
      <c r="U35" s="33"/>
      <c r="V35" s="33"/>
      <c r="W35" s="33"/>
      <c r="X35" s="33"/>
      <c r="Y35" s="34"/>
    </row>
    <row r="36" spans="2:25" ht="21" customHeight="1">
      <c r="B36" s="20"/>
      <c r="C36" s="48"/>
      <c r="D36" s="48"/>
      <c r="E36" s="48"/>
      <c r="F36" s="48"/>
      <c r="G36" s="24"/>
      <c r="I36" s="31"/>
      <c r="J36" s="33"/>
      <c r="K36" s="33"/>
      <c r="L36" s="33"/>
      <c r="M36" s="33"/>
      <c r="N36" s="33"/>
      <c r="O36" s="106"/>
      <c r="P36" s="33"/>
      <c r="Q36" s="33"/>
      <c r="R36" s="33"/>
      <c r="S36" s="33"/>
      <c r="T36" s="33"/>
      <c r="U36" s="33"/>
      <c r="V36" s="33"/>
      <c r="W36" s="33"/>
      <c r="X36" s="33"/>
      <c r="Y36" s="34"/>
    </row>
    <row r="37" spans="2:25" ht="222" customHeight="1">
      <c r="B37" s="93"/>
      <c r="C37" s="94"/>
      <c r="D37" s="94"/>
      <c r="E37" s="94"/>
      <c r="F37" s="94"/>
      <c r="G37" s="95"/>
      <c r="I37" s="56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8"/>
    </row>
    <row r="38" spans="2:25" ht="9" customHeight="1"/>
  </sheetData>
  <mergeCells count="16">
    <mergeCell ref="E5:J8"/>
    <mergeCell ref="M3:R6"/>
    <mergeCell ref="M8:P9"/>
    <mergeCell ref="T2:W5"/>
    <mergeCell ref="R8:U9"/>
    <mergeCell ref="V8:X9"/>
    <mergeCell ref="C15:F15"/>
    <mergeCell ref="C18:F18"/>
    <mergeCell ref="C21:F21"/>
    <mergeCell ref="C25:F25"/>
    <mergeCell ref="C30:F31"/>
    <mergeCell ref="C34:F35"/>
    <mergeCell ref="J14:V14"/>
    <mergeCell ref="N29:T30"/>
    <mergeCell ref="N31:T33"/>
    <mergeCell ref="O35:O36"/>
  </mergeCells>
  <conditionalFormatting sqref="V8">
    <cfRule type="expression" dxfId="0" priority="1">
      <formula>AND(N(sys_LastImport)&gt;0,(NOW()-sys_LastImport)&lt;1)</formula>
    </cfRule>
    <cfRule type="expression" dxfId="1" priority="2">
      <formula>AND(N(sys_LastImport)&gt;0,(NOW()-sys_LastImport)&gt;=1,(NOW()-sys_LastImport)&lt;3)</formula>
    </cfRule>
    <cfRule type="expression" dxfId="2" priority="3">
      <formula>AND(N(sys_LastImport)&gt;0,(NOW()-sys_LastImport)&gt;=3)</formula>
    </cfRule>
  </conditionalFormatting>
  <hyperlinks>
    <hyperlink ref="C15" location="'Сводка'!A1" tooltip="Сводка" display="СВОДКА"/>
    <hyperlink ref="C18" location="'СИКН'!A1" tooltip="СИКН" display="СИКН"/>
    <hyperlink ref="C21" location="'Тренды'!A1" tooltip="Тренды" display="ТРЕНДЫ"/>
    <hyperlink ref="C25" location="'Тревоги'!A1" tooltip="Тревоги" display="ТРЕВОГИ"/>
    <hyperlink ref="C30" location="'Отчеты'!A1" tooltip="Отчеты" display="ОТЧЕТЫ"/>
    <hyperlink ref="C34" location="'Настройки'!A1" tooltip="Настройки" display="НАСТРОЙКИ"/>
    <hyperlink ref="O35" location="'Сводка'!A1" tooltip="Перейти на сводку" display="← К СВОДКЕ"/>
  </hyperlinks>
  <printOptions horizontalCentered="1"/>
  <pageMargins left="0.2" right="0.2" top="0.2" bottom="0.2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Report">
    <tabColor rgb="FF1E3A47"/>
    <pageSetUpPr fitToPage="1"/>
  </sheetPr>
  <dimension ref="A1:XFD38"/>
  <sheetViews>
    <sheetView showGridLines="0" showRowColHeaders="0" zoomScale="85" zoomScaleNormal="85" workbookViewId="0"/>
  </sheetViews>
  <sheetFormatPr defaultRowHeight="15"/>
  <cols>
    <col min="1" max="1" width="1.42578125" style="1" customWidth="1"/>
    <col min="2" max="2" width="0.85546875" style="1" customWidth="1"/>
    <col min="3" max="3" width="1.42578125" style="1" customWidth="1"/>
    <col min="4" max="4" width="6" style="1" customWidth="1"/>
    <col min="5" max="5" width="3.7109375" style="1" customWidth="1"/>
    <col min="6" max="6" width="1.42578125" style="1" customWidth="1"/>
    <col min="7" max="7" width="0.85546875" style="1" customWidth="1"/>
    <col min="8" max="8" width="2.28515625" style="1" customWidth="1"/>
    <col min="9" max="9" width="3.42578125" style="1" customWidth="1"/>
    <col min="10" max="10" width="7.7109375" style="1" customWidth="1"/>
    <col min="11" max="11" width="1.140625" style="1" customWidth="1"/>
    <col min="12" max="12" width="2.28515625" style="1" customWidth="1"/>
    <col min="13" max="13" width="10.28515625" style="1" customWidth="1"/>
    <col min="14" max="14" width="51.42578125" style="1" customWidth="1"/>
    <col min="15" max="15" width="26.5703125" style="1" customWidth="1"/>
    <col min="16" max="16" width="27.7109375" style="1" customWidth="1"/>
    <col min="17" max="18" width="2.85546875" style="1" customWidth="1"/>
    <col min="19" max="19" width="4.28515625" style="1" customWidth="1"/>
    <col min="20" max="20" width="13.7109375" style="1" customWidth="1"/>
    <col min="21" max="21" width="20.85546875" style="1" customWidth="1"/>
    <col min="22" max="22" width="1.140625" style="1" customWidth="1"/>
    <col min="23" max="23" width="1.42578125" style="1" customWidth="1"/>
    <col min="24" max="24" width="0.28515625" style="1" customWidth="1"/>
    <col min="25" max="25" width="1.140625" style="1" customWidth="1"/>
    <col min="26" max="26" width="1.42578125" style="1" customWidth="1"/>
    <col min="27" max="16384" width="9.7109375" style="1" customWidth="1"/>
  </cols>
  <sheetData>
    <row r="1" spans="1:26" ht="9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3">
        <f>TODAY()</f>
        <v>46302.0</v>
      </c>
      <c r="U2" s="3"/>
      <c r="V2" s="3"/>
      <c r="W2" s="3"/>
      <c r="X2" s="2"/>
      <c r="Y2" s="2"/>
      <c r="Z2" s="2"/>
    </row>
    <row r="3" spans="1:26" ht="1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4" t="str">
        <f>cfg_Title</f>
        <v>СОДЕРЖАНИЕ ЛЕГКОЛЕТУЧИХ ХЛОРОРГАНИЧЕСКИХ СОЕДИНЕНИЙ ПО СИКН</v>
      </c>
      <c r="N3" s="4"/>
      <c r="O3" s="4"/>
      <c r="P3" s="4"/>
      <c r="Q3" s="4"/>
      <c r="R3" s="4"/>
      <c r="S3" s="2"/>
      <c r="T3" s="3"/>
      <c r="U3" s="3"/>
      <c r="V3" s="3"/>
      <c r="W3" s="3"/>
      <c r="X3" s="2"/>
      <c r="Y3" s="2"/>
      <c r="Z3" s="2"/>
    </row>
    <row r="4" spans="1:26" ht="3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5"/>
      <c r="M4" s="4"/>
      <c r="N4" s="4"/>
      <c r="O4" s="4"/>
      <c r="P4" s="4"/>
      <c r="Q4" s="4"/>
      <c r="R4" s="4"/>
      <c r="S4" s="2"/>
      <c r="T4" s="3"/>
      <c r="U4" s="3"/>
      <c r="V4" s="3"/>
      <c r="W4" s="3"/>
      <c r="X4" s="2"/>
      <c r="Y4" s="2"/>
      <c r="Z4" s="2"/>
    </row>
    <row r="5" spans="1:26" ht="18" customHeight="1">
      <c r="A5" s="2"/>
      <c r="B5" s="2"/>
      <c r="C5" s="2"/>
      <c r="D5" s="2"/>
      <c r="E5" s="6" t="s">
        <v>65</v>
      </c>
      <c r="F5" s="6"/>
      <c r="G5" s="6"/>
      <c r="H5" s="6"/>
      <c r="I5" s="6"/>
      <c r="J5" s="6"/>
      <c r="K5" s="2"/>
      <c r="L5" s="5"/>
      <c r="M5" s="4"/>
      <c r="N5" s="4"/>
      <c r="O5" s="4"/>
      <c r="P5" s="4"/>
      <c r="Q5" s="4"/>
      <c r="R5" s="4"/>
      <c r="S5" s="2"/>
      <c r="T5" s="3"/>
      <c r="U5" s="3"/>
      <c r="V5" s="3"/>
      <c r="W5" s="3"/>
      <c r="X5" s="2"/>
      <c r="Y5" s="2"/>
      <c r="Z5" s="2"/>
    </row>
    <row r="6" spans="1:26" ht="1.5" customHeight="1">
      <c r="A6" s="2"/>
      <c r="B6" s="2"/>
      <c r="C6" s="2"/>
      <c r="D6" s="2"/>
      <c r="E6" s="6"/>
      <c r="F6" s="6"/>
      <c r="G6" s="6"/>
      <c r="H6" s="6"/>
      <c r="I6" s="6"/>
      <c r="J6" s="6"/>
      <c r="K6" s="2"/>
      <c r="L6" s="5"/>
      <c r="M6" s="4"/>
      <c r="N6" s="4"/>
      <c r="O6" s="4"/>
      <c r="P6" s="4"/>
      <c r="Q6" s="4"/>
      <c r="R6" s="4"/>
      <c r="S6" s="2"/>
      <c r="T6" s="2"/>
      <c r="U6" s="2"/>
      <c r="V6" s="2"/>
      <c r="W6" s="2"/>
      <c r="X6" s="2"/>
      <c r="Y6" s="2"/>
      <c r="Z6" s="2"/>
    </row>
    <row r="7" spans="1:26" ht="1.5" customHeight="1">
      <c r="A7" s="2"/>
      <c r="B7" s="2"/>
      <c r="C7" s="2"/>
      <c r="D7" s="2"/>
      <c r="E7" s="6"/>
      <c r="F7" s="6"/>
      <c r="G7" s="6"/>
      <c r="H7" s="6"/>
      <c r="I7" s="6"/>
      <c r="J7" s="6"/>
      <c r="K7" s="2"/>
      <c r="L7" s="5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0.5" customHeight="1">
      <c r="A8" s="2"/>
      <c r="B8" s="2"/>
      <c r="C8" s="2"/>
      <c r="D8" s="2"/>
      <c r="E8" s="6"/>
      <c r="F8" s="6"/>
      <c r="G8" s="6"/>
      <c r="H8" s="6"/>
      <c r="I8" s="6"/>
      <c r="J8" s="6"/>
      <c r="K8" s="2"/>
      <c r="L8" s="5"/>
      <c r="M8" s="7" t="str">
        <f>cfg_Subtitle</f>
        <v>ОПЕРАТИВНАЯ СВОДКА</v>
      </c>
      <c r="N8" s="7"/>
      <c r="O8" s="7"/>
      <c r="P8" s="7"/>
      <c r="Q8" s="2"/>
      <c r="R8" s="8" t="str">
        <f>IF(N(sys_LastImport)=0,"Данные еще не загружались","Обновление: "&amp;IF(NOW()-sys_LastImport&lt;1/1440,"только что",IF(NOW()-sys_LastImport&lt;1/24,INT((NOW()-sys_LastImport)*1440)&amp;" мин назад",IF(NOW()-sys_LastImport&lt;1,INT((NOW()-sys_LastImport)*24)&amp;" ч "&amp;MOD(INT((NOW()-sys_LastImport)*1440),60)&amp;" мин назад",INT(NOW()-sys_LastImport)&amp;" дн "&amp;MOD(INT((NOW()-sys_LastImport)*24),24)&amp;" ч назад"))))</f>
        <v>Данные еще не загружались</v>
      </c>
      <c r="S8" s="8"/>
      <c r="T8" s="8"/>
      <c r="U8" s="8"/>
      <c r="V8" s="9" t="s">
        <v>66</v>
      </c>
      <c r="W8" s="9"/>
      <c r="X8" s="9"/>
      <c r="Y8" s="2"/>
      <c r="Z8" s="2"/>
    </row>
    <row r="9" spans="1:26" ht="6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5"/>
      <c r="M9" s="7"/>
      <c r="N9" s="7"/>
      <c r="O9" s="7"/>
      <c r="P9" s="7"/>
      <c r="Q9" s="2"/>
      <c r="R9" s="8"/>
      <c r="S9" s="8"/>
      <c r="T9" s="8"/>
      <c r="U9" s="8"/>
      <c r="V9" s="9"/>
      <c r="W9" s="9"/>
      <c r="X9" s="9"/>
      <c r="Y9" s="2"/>
      <c r="Z9" s="2"/>
    </row>
    <row r="10" spans="1:26" ht="1.5" customHeigh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5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6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9" customHeight="1"/>
    <row r="13" spans="1:26" ht="13.5" customHeight="1">
      <c r="B13" s="11"/>
      <c r="C13" s="12"/>
      <c r="D13" s="12"/>
      <c r="E13" s="12"/>
      <c r="F13" s="12"/>
      <c r="G13" s="13"/>
      <c r="I13" s="28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30"/>
    </row>
    <row r="14" spans="1:26" ht="30" customHeight="1">
      <c r="B14" s="20"/>
      <c r="C14" s="48"/>
      <c r="D14" s="48"/>
      <c r="E14" s="48"/>
      <c r="F14" s="48"/>
      <c r="G14" s="24"/>
      <c r="I14" s="31"/>
      <c r="J14" s="103" t="s">
        <v>110</v>
      </c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33"/>
      <c r="X14" s="33"/>
      <c r="Y14" s="34"/>
    </row>
    <row r="15" spans="1:26" ht="18" customHeight="1">
      <c r="B15" s="20"/>
      <c r="C15" s="59" t="s">
        <v>67</v>
      </c>
      <c r="D15" s="59"/>
      <c r="E15" s="59"/>
      <c r="F15" s="59"/>
      <c r="G15" s="24"/>
      <c r="I15" s="31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4"/>
    </row>
    <row r="16" spans="1:26" ht="9" customHeight="1">
      <c r="B16" s="20"/>
      <c r="C16" s="48"/>
      <c r="D16" s="49"/>
      <c r="E16" s="49"/>
      <c r="F16" s="48"/>
      <c r="G16" s="24"/>
      <c r="I16" s="31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4"/>
    </row>
    <row r="17" spans="2:25" ht="40.5" customHeight="1">
      <c r="B17" s="20"/>
      <c r="C17" s="48"/>
      <c r="D17" s="48"/>
      <c r="E17" s="48"/>
      <c r="F17" s="48"/>
      <c r="G17" s="24"/>
      <c r="I17" s="31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4"/>
    </row>
    <row r="18" spans="2:25" ht="18" customHeight="1">
      <c r="B18" s="20"/>
      <c r="C18" s="59" t="s">
        <v>68</v>
      </c>
      <c r="D18" s="59"/>
      <c r="E18" s="59"/>
      <c r="F18" s="59"/>
      <c r="G18" s="24"/>
      <c r="I18" s="31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4"/>
    </row>
    <row r="19" spans="2:25" ht="9" customHeight="1">
      <c r="B19" s="20"/>
      <c r="C19" s="48"/>
      <c r="D19" s="49"/>
      <c r="E19" s="49"/>
      <c r="F19" s="48"/>
      <c r="G19" s="24"/>
      <c r="I19" s="31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4"/>
    </row>
    <row r="20" spans="2:25" ht="40.5" customHeight="1">
      <c r="B20" s="20"/>
      <c r="C20" s="48"/>
      <c r="D20" s="48"/>
      <c r="E20" s="48"/>
      <c r="F20" s="48"/>
      <c r="G20" s="24"/>
      <c r="I20" s="31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4"/>
    </row>
    <row r="21" spans="2:25" ht="18" customHeight="1">
      <c r="B21" s="20"/>
      <c r="C21" s="59" t="s">
        <v>69</v>
      </c>
      <c r="D21" s="59"/>
      <c r="E21" s="59"/>
      <c r="F21" s="59"/>
      <c r="G21" s="24"/>
      <c r="I21" s="31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4"/>
    </row>
    <row r="22" spans="2:25" ht="9" customHeight="1">
      <c r="B22" s="20"/>
      <c r="C22" s="48"/>
      <c r="D22" s="49"/>
      <c r="E22" s="49"/>
      <c r="F22" s="48"/>
      <c r="G22" s="24"/>
      <c r="I22" s="31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4"/>
    </row>
    <row r="23" spans="2:25" ht="40.5" customHeight="1">
      <c r="B23" s="20"/>
      <c r="C23" s="48"/>
      <c r="D23" s="48"/>
      <c r="E23" s="48"/>
      <c r="F23" s="48"/>
      <c r="G23" s="24"/>
      <c r="I23" s="31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4"/>
    </row>
    <row r="24" spans="2:25" ht="18" customHeight="1">
      <c r="B24" s="20"/>
      <c r="C24" s="59" t="s">
        <v>70</v>
      </c>
      <c r="D24" s="59"/>
      <c r="E24" s="59"/>
      <c r="F24" s="59"/>
      <c r="G24" s="24"/>
      <c r="I24" s="31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4"/>
    </row>
    <row r="25" spans="2:25" ht="9" customHeight="1">
      <c r="B25" s="20"/>
      <c r="C25" s="48"/>
      <c r="D25" s="49"/>
      <c r="E25" s="49"/>
      <c r="F25" s="48"/>
      <c r="G25" s="24"/>
      <c r="I25" s="31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4"/>
    </row>
    <row r="26" spans="2:25" ht="3" customHeight="1">
      <c r="B26" s="20"/>
      <c r="C26" s="48"/>
      <c r="D26" s="48"/>
      <c r="E26" s="48"/>
      <c r="F26" s="48"/>
      <c r="G26" s="24"/>
      <c r="I26" s="31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4"/>
    </row>
    <row r="27" spans="2:25" ht="22.5" customHeight="1">
      <c r="B27" s="20"/>
      <c r="C27" s="21"/>
      <c r="D27" s="22"/>
      <c r="E27" s="22"/>
      <c r="F27" s="23"/>
      <c r="G27" s="24"/>
      <c r="I27" s="31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4"/>
    </row>
    <row r="28" spans="2:25">
      <c r="B28" s="20"/>
      <c r="C28" s="25"/>
      <c r="D28" s="26"/>
      <c r="E28" s="26"/>
      <c r="F28" s="27"/>
      <c r="G28" s="24"/>
      <c r="I28" s="31"/>
      <c r="J28" s="33"/>
      <c r="K28" s="33"/>
      <c r="L28" s="33"/>
      <c r="M28" s="33"/>
      <c r="N28" s="104" t="s">
        <v>103</v>
      </c>
      <c r="O28" s="104"/>
      <c r="P28" s="104"/>
      <c r="Q28" s="104"/>
      <c r="R28" s="104"/>
      <c r="S28" s="104"/>
      <c r="T28" s="104"/>
      <c r="U28" s="33"/>
      <c r="V28" s="33"/>
      <c r="W28" s="33"/>
      <c r="X28" s="33"/>
      <c r="Y28" s="34"/>
    </row>
    <row r="29" spans="2:25">
      <c r="B29" s="20"/>
      <c r="C29" s="35" t="s">
        <v>71</v>
      </c>
      <c r="D29" s="35"/>
      <c r="E29" s="35"/>
      <c r="F29" s="35"/>
      <c r="G29" s="24"/>
      <c r="I29" s="31"/>
      <c r="J29" s="33"/>
      <c r="K29" s="33"/>
      <c r="L29" s="33"/>
      <c r="M29" s="33"/>
      <c r="N29" s="104"/>
      <c r="O29" s="104"/>
      <c r="P29" s="104"/>
      <c r="Q29" s="104"/>
      <c r="R29" s="104"/>
      <c r="S29" s="104"/>
      <c r="T29" s="104"/>
      <c r="U29" s="33"/>
      <c r="V29" s="33"/>
      <c r="W29" s="33"/>
      <c r="X29" s="33"/>
      <c r="Y29" s="34"/>
    </row>
    <row r="30" spans="2:25" ht="3" customHeight="1">
      <c r="B30" s="20"/>
      <c r="C30" s="35"/>
      <c r="D30" s="35"/>
      <c r="E30" s="35"/>
      <c r="F30" s="35"/>
      <c r="G30" s="24"/>
      <c r="I30" s="31"/>
      <c r="J30" s="33"/>
      <c r="K30" s="33"/>
      <c r="L30" s="33"/>
      <c r="M30" s="33"/>
      <c r="N30" s="105" t="s">
        <v>111</v>
      </c>
      <c r="O30" s="105"/>
      <c r="P30" s="105"/>
      <c r="Q30" s="105"/>
      <c r="R30" s="105"/>
      <c r="S30" s="105"/>
      <c r="T30" s="105"/>
      <c r="U30" s="33"/>
      <c r="V30" s="33"/>
      <c r="W30" s="33"/>
      <c r="X30" s="33"/>
      <c r="Y30" s="34"/>
    </row>
    <row r="31" spans="2:25" ht="6" customHeight="1">
      <c r="B31" s="20"/>
      <c r="C31" s="45"/>
      <c r="D31" s="46"/>
      <c r="E31" s="46"/>
      <c r="F31" s="47"/>
      <c r="G31" s="24"/>
      <c r="I31" s="31"/>
      <c r="J31" s="33"/>
      <c r="K31" s="33"/>
      <c r="L31" s="33"/>
      <c r="M31" s="33"/>
      <c r="N31" s="105"/>
      <c r="O31" s="105"/>
      <c r="P31" s="105"/>
      <c r="Q31" s="105"/>
      <c r="R31" s="105"/>
      <c r="S31" s="105"/>
      <c r="T31" s="105"/>
      <c r="U31" s="33"/>
      <c r="V31" s="33"/>
      <c r="W31" s="33"/>
      <c r="X31" s="33"/>
      <c r="Y31" s="34"/>
    </row>
    <row r="32" spans="2:25" ht="3" customHeight="1">
      <c r="B32" s="20"/>
      <c r="C32" s="48"/>
      <c r="D32" s="49"/>
      <c r="E32" s="49"/>
      <c r="F32" s="48"/>
      <c r="G32" s="24"/>
      <c r="I32" s="31"/>
      <c r="J32" s="33"/>
      <c r="K32" s="33"/>
      <c r="L32" s="33"/>
      <c r="M32" s="33"/>
      <c r="N32" s="105"/>
      <c r="O32" s="105"/>
      <c r="P32" s="105"/>
      <c r="Q32" s="105"/>
      <c r="R32" s="105"/>
      <c r="S32" s="105"/>
      <c r="T32" s="105"/>
      <c r="U32" s="33"/>
      <c r="V32" s="33"/>
      <c r="W32" s="33"/>
      <c r="X32" s="33"/>
      <c r="Y32" s="34"/>
    </row>
    <row r="33" spans="2:25" ht="40.5" customHeight="1">
      <c r="B33" s="20"/>
      <c r="C33" s="48"/>
      <c r="D33" s="48"/>
      <c r="E33" s="48"/>
      <c r="F33" s="48"/>
      <c r="G33" s="24"/>
      <c r="I33" s="31"/>
      <c r="J33" s="33"/>
      <c r="K33" s="33"/>
      <c r="L33" s="33"/>
      <c r="M33" s="33"/>
      <c r="N33" s="105"/>
      <c r="O33" s="105"/>
      <c r="P33" s="105"/>
      <c r="Q33" s="105"/>
      <c r="R33" s="105"/>
      <c r="S33" s="105"/>
      <c r="T33" s="105"/>
      <c r="U33" s="33"/>
      <c r="V33" s="33"/>
      <c r="W33" s="33"/>
      <c r="X33" s="33"/>
      <c r="Y33" s="34"/>
    </row>
    <row r="34" spans="2:25">
      <c r="B34" s="20"/>
      <c r="C34" s="59" t="s">
        <v>72</v>
      </c>
      <c r="D34" s="59"/>
      <c r="E34" s="59"/>
      <c r="F34" s="59"/>
      <c r="G34" s="24"/>
      <c r="I34" s="31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4"/>
    </row>
    <row r="35" spans="2:25" ht="3" customHeight="1">
      <c r="B35" s="20"/>
      <c r="C35" s="59"/>
      <c r="D35" s="59"/>
      <c r="E35" s="59"/>
      <c r="F35" s="59"/>
      <c r="G35" s="24"/>
      <c r="I35" s="31"/>
      <c r="J35" s="33"/>
      <c r="K35" s="33"/>
      <c r="L35" s="33"/>
      <c r="M35" s="33"/>
      <c r="N35" s="33"/>
      <c r="O35" s="106" t="s">
        <v>105</v>
      </c>
      <c r="P35" s="33"/>
      <c r="Q35" s="33"/>
      <c r="R35" s="33"/>
      <c r="S35" s="33"/>
      <c r="T35" s="33"/>
      <c r="U35" s="33"/>
      <c r="V35" s="33"/>
      <c r="W35" s="33"/>
      <c r="X35" s="33"/>
      <c r="Y35" s="34"/>
    </row>
    <row r="36" spans="2:25" ht="21" customHeight="1">
      <c r="B36" s="20"/>
      <c r="C36" s="48"/>
      <c r="D36" s="48"/>
      <c r="E36" s="48"/>
      <c r="F36" s="48"/>
      <c r="G36" s="24"/>
      <c r="I36" s="31"/>
      <c r="J36" s="33"/>
      <c r="K36" s="33"/>
      <c r="L36" s="33"/>
      <c r="M36" s="33"/>
      <c r="N36" s="33"/>
      <c r="O36" s="106"/>
      <c r="P36" s="33"/>
      <c r="Q36" s="33"/>
      <c r="R36" s="33"/>
      <c r="S36" s="33"/>
      <c r="T36" s="33"/>
      <c r="U36" s="33"/>
      <c r="V36" s="33"/>
      <c r="W36" s="33"/>
      <c r="X36" s="33"/>
      <c r="Y36" s="34"/>
    </row>
    <row r="37" spans="2:25" ht="222" customHeight="1">
      <c r="B37" s="93"/>
      <c r="C37" s="94"/>
      <c r="D37" s="94"/>
      <c r="E37" s="94"/>
      <c r="F37" s="94"/>
      <c r="G37" s="95"/>
      <c r="I37" s="56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8"/>
    </row>
    <row r="38" spans="2:25" ht="9" customHeight="1"/>
  </sheetData>
  <mergeCells count="16">
    <mergeCell ref="E5:J8"/>
    <mergeCell ref="M3:R6"/>
    <mergeCell ref="M8:P9"/>
    <mergeCell ref="T2:W5"/>
    <mergeCell ref="R8:U9"/>
    <mergeCell ref="V8:X9"/>
    <mergeCell ref="C15:F15"/>
    <mergeCell ref="C18:F18"/>
    <mergeCell ref="C21:F21"/>
    <mergeCell ref="C24:F24"/>
    <mergeCell ref="C29:F30"/>
    <mergeCell ref="C34:F35"/>
    <mergeCell ref="J14:V14"/>
    <mergeCell ref="N28:T29"/>
    <mergeCell ref="N30:T33"/>
    <mergeCell ref="O35:O36"/>
  </mergeCells>
  <conditionalFormatting sqref="V8">
    <cfRule type="expression" dxfId="0" priority="1">
      <formula>AND(N(sys_LastImport)&gt;0,(NOW()-sys_LastImport)&lt;1)</formula>
    </cfRule>
    <cfRule type="expression" dxfId="1" priority="2">
      <formula>AND(N(sys_LastImport)&gt;0,(NOW()-sys_LastImport)&gt;=1,(NOW()-sys_LastImport)&lt;3)</formula>
    </cfRule>
    <cfRule type="expression" dxfId="2" priority="3">
      <formula>AND(N(sys_LastImport)&gt;0,(NOW()-sys_LastImport)&gt;=3)</formula>
    </cfRule>
  </conditionalFormatting>
  <hyperlinks>
    <hyperlink ref="C15" location="'Сводка'!A1" tooltip="Сводка" display="СВОДКА"/>
    <hyperlink ref="C18" location="'СИКН'!A1" tooltip="СИКН" display="СИКН"/>
    <hyperlink ref="C21" location="'Тренды'!A1" tooltip="Тренды" display="ТРЕНДЫ"/>
    <hyperlink ref="C24" location="'Тревоги'!A1" tooltip="Тревоги" display="ТРЕВОГИ"/>
    <hyperlink ref="C29" location="'Отчеты'!A1" tooltip="Отчеты" display="ОТЧЕТЫ"/>
    <hyperlink ref="C34" location="'Настройки'!A1" tooltip="Настройки" display="НАСТРОЙКИ"/>
    <hyperlink ref="O35" location="'Сводка'!A1" tooltip="Перейти на сводку" display="← К СВОДКЕ"/>
  </hyperlinks>
  <printOptions horizontalCentered="1"/>
  <pageMargins left="0.2" right="0.2" top="0.2" bottom="0.2" header="0.3" footer="0.3"/>
  <pageSetup paperSize="9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Settings">
    <tabColor rgb="FF8C9DA7"/>
    <pageSetUpPr fitToPage="1"/>
  </sheetPr>
  <dimension ref="A1:XFD115"/>
  <sheetViews>
    <sheetView showGridLines="0" showRowColHeaders="0" zoomScale="85" zoomScaleNormal="85" workbookViewId="0"/>
  </sheetViews>
  <sheetFormatPr defaultRowHeight="15"/>
  <cols>
    <col min="1" max="1" width="1.42578125" style="1" customWidth="1"/>
    <col min="2" max="2" width="0.85546875" style="1" customWidth="1"/>
    <col min="3" max="3" width="1.42578125" style="1" customWidth="1"/>
    <col min="4" max="4" width="6" style="1" customWidth="1"/>
    <col min="5" max="5" width="3.7109375" style="1" customWidth="1"/>
    <col min="6" max="6" width="1.42578125" style="1" customWidth="1"/>
    <col min="7" max="7" width="0.85546875" style="1" customWidth="1"/>
    <col min="8" max="8" width="2.28515625" style="1" customWidth="1"/>
    <col min="9" max="9" width="2" style="1" customWidth="1"/>
    <col min="10" max="10" width="1.7109375" style="1" customWidth="1"/>
    <col min="11" max="11" width="0.85546875" style="1" customWidth="1"/>
    <col min="12" max="12" width="6.5703125" style="1" customWidth="1"/>
    <col min="13" max="13" width="1.140625" style="1" customWidth="1"/>
    <col min="14" max="14" width="2.28515625" style="1" customWidth="1"/>
    <col min="15" max="15" width="6" style="1" customWidth="1"/>
    <col min="16" max="16" width="5.7109375" style="1" customWidth="1"/>
    <col min="17" max="17" width="24.28515625" style="1" customWidth="1"/>
    <col min="18" max="18" width="1.42578125" style="1" customWidth="1"/>
    <col min="19" max="19" width="10" style="1" customWidth="1"/>
    <col min="20" max="21" width="1.42578125" style="1" customWidth="1"/>
    <col min="22" max="22" width="0.85546875" style="1" customWidth="1"/>
    <col min="23" max="23" width="7.7109375" style="1" customWidth="1"/>
    <col min="24" max="24" width="7.140625" style="1" customWidth="1"/>
    <col min="25" max="25" width="1.42578125" style="1" customWidth="1"/>
    <col min="26" max="26" width="1.7109375" style="1" customWidth="1"/>
    <col min="27" max="27" width="2" style="1" customWidth="1"/>
    <col min="28" max="28" width="3.42578125" style="1" customWidth="1"/>
    <col min="29" max="29" width="5.7109375" style="1" customWidth="1"/>
    <col min="30" max="30" width="12.85546875" style="1" customWidth="1"/>
    <col min="31" max="31" width="2.85546875" style="1" customWidth="1"/>
    <col min="32" max="32" width="10" style="1" customWidth="1"/>
    <col min="33" max="33" width="4.28515625" style="1" customWidth="1"/>
    <col min="34" max="34" width="1.42578125" style="1" customWidth="1"/>
    <col min="35" max="35" width="4.28515625" style="1" customWidth="1"/>
    <col min="36" max="36" width="2.85546875" style="1" customWidth="1"/>
    <col min="37" max="38" width="1.42578125" style="1" customWidth="1"/>
    <col min="39" max="39" width="4.28515625" style="1" customWidth="1"/>
    <col min="40" max="40" width="5.7109375" style="1" customWidth="1"/>
    <col min="41" max="41" width="28.85546875" style="1" customWidth="1"/>
    <col min="42" max="42" width="2" style="1" customWidth="1"/>
    <col min="43" max="43" width="0.5703125" style="1" customWidth="1"/>
    <col min="44" max="44" width="0.28515625" style="1" customWidth="1"/>
    <col min="45" max="45" width="1.140625" style="1" customWidth="1"/>
    <col min="46" max="46" width="1.42578125" style="1" customWidth="1"/>
    <col min="47" max="16384" width="9.7109375" style="1" customWidth="1"/>
  </cols>
  <sheetData>
    <row r="1" spans="1:46" ht="9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</row>
    <row r="2" spans="1:46" ht="1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3">
        <f>TODAY()</f>
        <v>46302.0</v>
      </c>
      <c r="AO2" s="3"/>
      <c r="AP2" s="3"/>
      <c r="AQ2" s="3"/>
      <c r="AR2" s="2"/>
      <c r="AS2" s="2"/>
      <c r="AT2" s="2"/>
    </row>
    <row r="3" spans="1:46" ht="1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4" t="str">
        <f>cfg_Title</f>
        <v>СОДЕРЖАНИЕ ЛЕГКОЛЕТУЧИХ ХЛОРОРГАНИЧЕСКИХ СОЕДИНЕНИЙ ПО СИКН</v>
      </c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2"/>
      <c r="AN3" s="3"/>
      <c r="AO3" s="3"/>
      <c r="AP3" s="3"/>
      <c r="AQ3" s="3"/>
      <c r="AR3" s="2"/>
      <c r="AS3" s="2"/>
      <c r="AT3" s="2"/>
    </row>
    <row r="4" spans="1:46" ht="3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5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2"/>
      <c r="AN4" s="3"/>
      <c r="AO4" s="3"/>
      <c r="AP4" s="3"/>
      <c r="AQ4" s="3"/>
      <c r="AR4" s="2"/>
      <c r="AS4" s="2"/>
      <c r="AT4" s="2"/>
    </row>
    <row r="5" spans="1:46" ht="18" customHeight="1">
      <c r="A5" s="2"/>
      <c r="B5" s="2"/>
      <c r="C5" s="2"/>
      <c r="D5" s="2"/>
      <c r="E5" s="6" t="s">
        <v>65</v>
      </c>
      <c r="F5" s="6"/>
      <c r="G5" s="6"/>
      <c r="H5" s="6"/>
      <c r="I5" s="6"/>
      <c r="J5" s="6"/>
      <c r="K5" s="6"/>
      <c r="L5" s="6"/>
      <c r="M5" s="2"/>
      <c r="N5" s="5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2"/>
      <c r="AN5" s="3"/>
      <c r="AO5" s="3"/>
      <c r="AP5" s="3"/>
      <c r="AQ5" s="3"/>
      <c r="AR5" s="2"/>
      <c r="AS5" s="2"/>
      <c r="AT5" s="2"/>
    </row>
    <row r="6" spans="1:46" ht="1.5" customHeight="1">
      <c r="A6" s="2"/>
      <c r="B6" s="2"/>
      <c r="C6" s="2"/>
      <c r="D6" s="2"/>
      <c r="E6" s="6"/>
      <c r="F6" s="6"/>
      <c r="G6" s="6"/>
      <c r="H6" s="6"/>
      <c r="I6" s="6"/>
      <c r="J6" s="6"/>
      <c r="K6" s="6"/>
      <c r="L6" s="6"/>
      <c r="M6" s="2"/>
      <c r="N6" s="5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2"/>
      <c r="AN6" s="2"/>
      <c r="AO6" s="2"/>
      <c r="AP6" s="2"/>
      <c r="AQ6" s="2"/>
      <c r="AR6" s="2"/>
      <c r="AS6" s="2"/>
      <c r="AT6" s="2"/>
    </row>
    <row r="7" spans="1:46" ht="1.5" customHeight="1">
      <c r="A7" s="2"/>
      <c r="B7" s="2"/>
      <c r="C7" s="2"/>
      <c r="D7" s="2"/>
      <c r="E7" s="6"/>
      <c r="F7" s="6"/>
      <c r="G7" s="6"/>
      <c r="H7" s="6"/>
      <c r="I7" s="6"/>
      <c r="J7" s="6"/>
      <c r="K7" s="6"/>
      <c r="L7" s="6"/>
      <c r="M7" s="2"/>
      <c r="N7" s="5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</row>
    <row r="8" spans="1:46" ht="10.5" customHeight="1">
      <c r="A8" s="2"/>
      <c r="B8" s="2"/>
      <c r="C8" s="2"/>
      <c r="D8" s="2"/>
      <c r="E8" s="6"/>
      <c r="F8" s="6"/>
      <c r="G8" s="6"/>
      <c r="H8" s="6"/>
      <c r="I8" s="6"/>
      <c r="J8" s="6"/>
      <c r="K8" s="6"/>
      <c r="L8" s="6"/>
      <c r="M8" s="2"/>
      <c r="N8" s="5"/>
      <c r="O8" s="7" t="str">
        <f>cfg_Subtitle</f>
        <v>ОПЕРАТИВНАЯ СВОДКА</v>
      </c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2"/>
      <c r="AK8" s="8" t="str">
        <f>IF(N(sys_LastImport)=0,"Данные еще не загружались","Обновление: "&amp;IF(NOW()-sys_LastImport&lt;1/1440,"только что",IF(NOW()-sys_LastImport&lt;1/24,INT((NOW()-sys_LastImport)*1440)&amp;" мин назад",IF(NOW()-sys_LastImport&lt;1,INT((NOW()-sys_LastImport)*24)&amp;" ч "&amp;MOD(INT((NOW()-sys_LastImport)*1440),60)&amp;" мин назад",INT(NOW()-sys_LastImport)&amp;" дн "&amp;MOD(INT((NOW()-sys_LastImport)*24),24)&amp;" ч назад"))))</f>
        <v>Данные еще не загружались</v>
      </c>
      <c r="AL8" s="8"/>
      <c r="AM8" s="8"/>
      <c r="AN8" s="8"/>
      <c r="AO8" s="8"/>
      <c r="AP8" s="9" t="s">
        <v>66</v>
      </c>
      <c r="AQ8" s="9"/>
      <c r="AR8" s="9"/>
      <c r="AS8" s="2"/>
      <c r="AT8" s="2"/>
    </row>
    <row r="9" spans="1:46" ht="6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5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2"/>
      <c r="AK9" s="8"/>
      <c r="AL9" s="8"/>
      <c r="AM9" s="8"/>
      <c r="AN9" s="8"/>
      <c r="AO9" s="8"/>
      <c r="AP9" s="9"/>
      <c r="AQ9" s="9"/>
      <c r="AR9" s="9"/>
      <c r="AS9" s="2"/>
      <c r="AT9" s="2"/>
    </row>
    <row r="10" spans="1:46" ht="1.5" customHeight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5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</row>
    <row r="11" spans="1:46" ht="6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</row>
    <row r="12" spans="1:46" ht="9" customHeight="1"/>
    <row r="13" spans="1:46" ht="3" customHeight="1">
      <c r="B13" s="11"/>
      <c r="C13" s="12"/>
      <c r="D13" s="12"/>
      <c r="E13" s="12"/>
      <c r="F13" s="12"/>
      <c r="G13" s="13"/>
      <c r="I13" s="28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30"/>
      <c r="AA13" s="28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30"/>
    </row>
    <row r="14" spans="1:46" ht="24" customHeight="1">
      <c r="B14" s="20"/>
      <c r="C14" s="48"/>
      <c r="D14" s="48"/>
      <c r="E14" s="48"/>
      <c r="F14" s="48"/>
      <c r="G14" s="24"/>
      <c r="I14" s="31"/>
      <c r="J14" s="107" t="s">
        <v>112</v>
      </c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  <c r="Y14" s="34"/>
      <c r="AA14" s="31"/>
      <c r="AB14" s="107" t="s">
        <v>118</v>
      </c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33"/>
      <c r="AS14" s="34"/>
    </row>
    <row r="15" spans="1:46" ht="6" customHeight="1">
      <c r="B15" s="20"/>
      <c r="C15" s="48"/>
      <c r="D15" s="48"/>
      <c r="E15" s="48"/>
      <c r="F15" s="48"/>
      <c r="G15" s="24"/>
      <c r="I15" s="31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4"/>
      <c r="AA15" s="31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4"/>
    </row>
    <row r="16" spans="1:46" ht="1.5" customHeight="1">
      <c r="B16" s="20"/>
      <c r="C16" s="48"/>
      <c r="D16" s="48"/>
      <c r="E16" s="48"/>
      <c r="F16" s="48"/>
      <c r="G16" s="24"/>
      <c r="I16" s="31"/>
      <c r="J16" s="108" t="s">
        <v>99</v>
      </c>
      <c r="K16" s="33"/>
      <c r="L16" s="109" t="s">
        <v>113</v>
      </c>
      <c r="M16" s="109"/>
      <c r="N16" s="109"/>
      <c r="O16" s="109"/>
      <c r="P16" s="109"/>
      <c r="Q16" s="109"/>
      <c r="R16" s="33"/>
      <c r="S16" s="33"/>
      <c r="T16" s="33"/>
      <c r="U16" s="33"/>
      <c r="V16" s="33"/>
      <c r="W16" s="55" t="s">
        <v>114</v>
      </c>
      <c r="X16" s="33"/>
      <c r="Y16" s="34"/>
      <c r="AA16" s="31"/>
      <c r="AB16" s="109" t="s">
        <v>119</v>
      </c>
      <c r="AC16" s="109"/>
      <c r="AD16" s="109"/>
      <c r="AE16" s="109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4"/>
    </row>
    <row r="17" spans="2:45" ht="9" customHeight="1">
      <c r="B17" s="20"/>
      <c r="C17" s="48"/>
      <c r="D17" s="48"/>
      <c r="E17" s="48"/>
      <c r="F17" s="48"/>
      <c r="G17" s="24"/>
      <c r="I17" s="31"/>
      <c r="J17" s="108"/>
      <c r="K17" s="33"/>
      <c r="L17" s="109"/>
      <c r="M17" s="109"/>
      <c r="N17" s="109"/>
      <c r="O17" s="109"/>
      <c r="P17" s="109"/>
      <c r="Q17" s="109"/>
      <c r="R17" s="33"/>
      <c r="S17" s="110">
        <v>1.5</v>
      </c>
      <c r="T17" s="110"/>
      <c r="U17" s="110"/>
      <c r="V17" s="33"/>
      <c r="W17" s="55"/>
      <c r="X17" s="33"/>
      <c r="Y17" s="34"/>
      <c r="AA17" s="31"/>
      <c r="AB17" s="109"/>
      <c r="AC17" s="109"/>
      <c r="AD17" s="109"/>
      <c r="AE17" s="109"/>
      <c r="AF17" s="111" t="s">
        <v>120</v>
      </c>
      <c r="AG17" s="111"/>
      <c r="AH17" s="111"/>
      <c r="AI17" s="111"/>
      <c r="AJ17" s="111"/>
      <c r="AK17" s="111"/>
      <c r="AL17" s="111"/>
      <c r="AM17" s="111"/>
      <c r="AN17" s="111"/>
      <c r="AO17" s="111"/>
      <c r="AP17" s="111"/>
      <c r="AQ17" s="33"/>
      <c r="AR17" s="33"/>
      <c r="AS17" s="34"/>
    </row>
    <row r="18" spans="2:45" ht="10.5" customHeight="1">
      <c r="B18" s="20"/>
      <c r="C18" s="59" t="s">
        <v>67</v>
      </c>
      <c r="D18" s="59"/>
      <c r="E18" s="59"/>
      <c r="F18" s="59"/>
      <c r="G18" s="24"/>
      <c r="I18" s="31"/>
      <c r="J18" s="108"/>
      <c r="K18" s="33"/>
      <c r="L18" s="109"/>
      <c r="M18" s="109"/>
      <c r="N18" s="109"/>
      <c r="O18" s="109"/>
      <c r="P18" s="109"/>
      <c r="Q18" s="109"/>
      <c r="R18" s="33"/>
      <c r="S18" s="110"/>
      <c r="T18" s="110"/>
      <c r="U18" s="110"/>
      <c r="V18" s="33"/>
      <c r="W18" s="55"/>
      <c r="X18" s="33"/>
      <c r="Y18" s="34"/>
      <c r="AA18" s="31"/>
      <c r="AB18" s="109"/>
      <c r="AC18" s="109"/>
      <c r="AD18" s="109"/>
      <c r="AE18" s="109"/>
      <c r="AF18" s="111"/>
      <c r="AG18" s="111"/>
      <c r="AH18" s="111"/>
      <c r="AI18" s="111"/>
      <c r="AJ18" s="111"/>
      <c r="AK18" s="111"/>
      <c r="AL18" s="111"/>
      <c r="AM18" s="111"/>
      <c r="AN18" s="111"/>
      <c r="AO18" s="111"/>
      <c r="AP18" s="111"/>
      <c r="AQ18" s="33"/>
      <c r="AR18" s="33"/>
      <c r="AS18" s="34"/>
    </row>
    <row r="19" spans="2:45" ht="1.5" customHeight="1">
      <c r="B19" s="20"/>
      <c r="C19" s="59"/>
      <c r="D19" s="59"/>
      <c r="E19" s="59"/>
      <c r="F19" s="59"/>
      <c r="G19" s="24"/>
      <c r="I19" s="31"/>
      <c r="J19" s="108"/>
      <c r="K19" s="33"/>
      <c r="L19" s="109"/>
      <c r="M19" s="109"/>
      <c r="N19" s="109"/>
      <c r="O19" s="109"/>
      <c r="P19" s="109"/>
      <c r="Q19" s="109"/>
      <c r="R19" s="33"/>
      <c r="S19" s="33"/>
      <c r="T19" s="33"/>
      <c r="U19" s="33"/>
      <c r="V19" s="33"/>
      <c r="W19" s="55"/>
      <c r="X19" s="33"/>
      <c r="Y19" s="34"/>
      <c r="AA19" s="31"/>
      <c r="AB19" s="109"/>
      <c r="AC19" s="109"/>
      <c r="AD19" s="109"/>
      <c r="AE19" s="109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4"/>
    </row>
    <row r="20" spans="2:45" ht="6" customHeight="1">
      <c r="B20" s="20"/>
      <c r="C20" s="59"/>
      <c r="D20" s="59"/>
      <c r="E20" s="59"/>
      <c r="F20" s="59"/>
      <c r="G20" s="24"/>
      <c r="I20" s="31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4"/>
      <c r="AA20" s="31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4"/>
    </row>
    <row r="21" spans="2:45" ht="1.5" customHeight="1">
      <c r="B21" s="20"/>
      <c r="C21" s="48"/>
      <c r="D21" s="48"/>
      <c r="E21" s="48"/>
      <c r="F21" s="48"/>
      <c r="G21" s="24"/>
      <c r="I21" s="31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4"/>
      <c r="AA21" s="31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4"/>
    </row>
    <row r="22" spans="2:45" ht="1.5" customHeight="1">
      <c r="B22" s="20"/>
      <c r="C22" s="48"/>
      <c r="D22" s="48"/>
      <c r="E22" s="48"/>
      <c r="F22" s="48"/>
      <c r="G22" s="24"/>
      <c r="I22" s="31"/>
      <c r="J22" s="112" t="s">
        <v>99</v>
      </c>
      <c r="K22" s="33"/>
      <c r="L22" s="109" t="s">
        <v>115</v>
      </c>
      <c r="M22" s="109"/>
      <c r="N22" s="109"/>
      <c r="O22" s="109"/>
      <c r="P22" s="109"/>
      <c r="Q22" s="109"/>
      <c r="R22" s="33"/>
      <c r="S22" s="33"/>
      <c r="T22" s="33"/>
      <c r="U22" s="33"/>
      <c r="V22" s="33"/>
      <c r="W22" s="55" t="s">
        <v>114</v>
      </c>
      <c r="X22" s="33"/>
      <c r="Y22" s="34"/>
      <c r="AA22" s="31"/>
      <c r="AB22" s="109" t="s">
        <v>121</v>
      </c>
      <c r="AC22" s="109"/>
      <c r="AD22" s="109"/>
      <c r="AE22" s="109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4"/>
    </row>
    <row r="23" spans="2:45" ht="6" customHeight="1">
      <c r="B23" s="20"/>
      <c r="C23" s="48"/>
      <c r="D23" s="49"/>
      <c r="E23" s="49"/>
      <c r="F23" s="48"/>
      <c r="G23" s="24"/>
      <c r="I23" s="31"/>
      <c r="J23" s="112"/>
      <c r="K23" s="33"/>
      <c r="L23" s="109"/>
      <c r="M23" s="109"/>
      <c r="N23" s="109"/>
      <c r="O23" s="109"/>
      <c r="P23" s="109"/>
      <c r="Q23" s="109"/>
      <c r="R23" s="33"/>
      <c r="S23" s="110">
        <v>2.3</v>
      </c>
      <c r="T23" s="110"/>
      <c r="U23" s="110"/>
      <c r="V23" s="33"/>
      <c r="W23" s="55"/>
      <c r="X23" s="33"/>
      <c r="Y23" s="34"/>
      <c r="AA23" s="31"/>
      <c r="AB23" s="109"/>
      <c r="AC23" s="109"/>
      <c r="AD23" s="109"/>
      <c r="AE23" s="109"/>
      <c r="AF23" s="111" t="s">
        <v>122</v>
      </c>
      <c r="AG23" s="111"/>
      <c r="AH23" s="111"/>
      <c r="AI23" s="111"/>
      <c r="AJ23" s="111"/>
      <c r="AK23" s="111"/>
      <c r="AL23" s="111"/>
      <c r="AM23" s="111"/>
      <c r="AN23" s="111"/>
      <c r="AO23" s="111"/>
      <c r="AP23" s="111"/>
      <c r="AQ23" s="33"/>
      <c r="AR23" s="33"/>
      <c r="AS23" s="34"/>
    </row>
    <row r="24" spans="2:45" ht="13.5" customHeight="1">
      <c r="B24" s="20"/>
      <c r="C24" s="48"/>
      <c r="D24" s="48"/>
      <c r="E24" s="48"/>
      <c r="F24" s="48"/>
      <c r="G24" s="24"/>
      <c r="I24" s="31"/>
      <c r="J24" s="112"/>
      <c r="K24" s="33"/>
      <c r="L24" s="109"/>
      <c r="M24" s="109"/>
      <c r="N24" s="109"/>
      <c r="O24" s="109"/>
      <c r="P24" s="109"/>
      <c r="Q24" s="109"/>
      <c r="R24" s="33"/>
      <c r="S24" s="110"/>
      <c r="T24" s="110"/>
      <c r="U24" s="110"/>
      <c r="V24" s="33"/>
      <c r="W24" s="55"/>
      <c r="X24" s="33"/>
      <c r="Y24" s="34"/>
      <c r="AA24" s="31"/>
      <c r="AB24" s="109"/>
      <c r="AC24" s="109"/>
      <c r="AD24" s="109"/>
      <c r="AE24" s="109"/>
      <c r="AF24" s="111"/>
      <c r="AG24" s="111"/>
      <c r="AH24" s="111"/>
      <c r="AI24" s="111"/>
      <c r="AJ24" s="111"/>
      <c r="AK24" s="111"/>
      <c r="AL24" s="111"/>
      <c r="AM24" s="111"/>
      <c r="AN24" s="111"/>
      <c r="AO24" s="111"/>
      <c r="AP24" s="111"/>
      <c r="AQ24" s="33"/>
      <c r="AR24" s="33"/>
      <c r="AS24" s="34"/>
    </row>
    <row r="25" spans="2:45" ht="1.5" customHeight="1">
      <c r="B25" s="20"/>
      <c r="C25" s="48"/>
      <c r="D25" s="48"/>
      <c r="E25" s="48"/>
      <c r="F25" s="48"/>
      <c r="G25" s="24"/>
      <c r="I25" s="31"/>
      <c r="J25" s="112"/>
      <c r="K25" s="33"/>
      <c r="L25" s="109"/>
      <c r="M25" s="109"/>
      <c r="N25" s="109"/>
      <c r="O25" s="109"/>
      <c r="P25" s="109"/>
      <c r="Q25" s="109"/>
      <c r="R25" s="33"/>
      <c r="S25" s="33"/>
      <c r="T25" s="33"/>
      <c r="U25" s="33"/>
      <c r="V25" s="33"/>
      <c r="W25" s="55"/>
      <c r="X25" s="33"/>
      <c r="Y25" s="34"/>
      <c r="AA25" s="31"/>
      <c r="AB25" s="109"/>
      <c r="AC25" s="109"/>
      <c r="AD25" s="109"/>
      <c r="AE25" s="109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4"/>
    </row>
    <row r="26" spans="2:45" ht="7.5" customHeight="1">
      <c r="B26" s="20"/>
      <c r="C26" s="48"/>
      <c r="D26" s="48"/>
      <c r="E26" s="48"/>
      <c r="F26" s="48"/>
      <c r="G26" s="24"/>
      <c r="I26" s="31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4"/>
      <c r="AA26" s="31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4"/>
    </row>
    <row r="27" spans="2:45" ht="1.5" customHeight="1">
      <c r="B27" s="20"/>
      <c r="C27" s="48"/>
      <c r="D27" s="48"/>
      <c r="E27" s="48"/>
      <c r="F27" s="48"/>
      <c r="G27" s="24"/>
      <c r="I27" s="31"/>
      <c r="J27" s="113" t="s">
        <v>99</v>
      </c>
      <c r="K27" s="33"/>
      <c r="L27" s="109" t="s">
        <v>116</v>
      </c>
      <c r="M27" s="109"/>
      <c r="N27" s="109"/>
      <c r="O27" s="109"/>
      <c r="P27" s="109"/>
      <c r="Q27" s="109"/>
      <c r="R27" s="33"/>
      <c r="S27" s="33"/>
      <c r="T27" s="33"/>
      <c r="U27" s="33"/>
      <c r="V27" s="33"/>
      <c r="W27" s="55" t="s">
        <v>114</v>
      </c>
      <c r="X27" s="33"/>
      <c r="Y27" s="34"/>
      <c r="AA27" s="31"/>
      <c r="AB27" s="109" t="s">
        <v>123</v>
      </c>
      <c r="AC27" s="109"/>
      <c r="AD27" s="109"/>
      <c r="AE27" s="109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4"/>
    </row>
    <row r="28" spans="2:45" ht="16.5" customHeight="1">
      <c r="B28" s="20"/>
      <c r="C28" s="48"/>
      <c r="D28" s="48"/>
      <c r="E28" s="48"/>
      <c r="F28" s="48"/>
      <c r="G28" s="24"/>
      <c r="I28" s="31"/>
      <c r="J28" s="113"/>
      <c r="K28" s="33"/>
      <c r="L28" s="109"/>
      <c r="M28" s="109"/>
      <c r="N28" s="109"/>
      <c r="O28" s="109"/>
      <c r="P28" s="109"/>
      <c r="Q28" s="109"/>
      <c r="R28" s="33"/>
      <c r="S28" s="110">
        <v>3</v>
      </c>
      <c r="T28" s="110"/>
      <c r="U28" s="110"/>
      <c r="V28" s="33"/>
      <c r="W28" s="55"/>
      <c r="X28" s="33"/>
      <c r="Y28" s="34"/>
      <c r="AA28" s="31"/>
      <c r="AB28" s="109"/>
      <c r="AC28" s="109"/>
      <c r="AD28" s="109"/>
      <c r="AE28" s="109"/>
      <c r="AF28" s="111" t="s">
        <v>124</v>
      </c>
      <c r="AG28" s="111"/>
      <c r="AH28" s="111"/>
      <c r="AI28" s="111"/>
      <c r="AJ28" s="111"/>
      <c r="AK28" s="111"/>
      <c r="AL28" s="111"/>
      <c r="AM28" s="111"/>
      <c r="AN28" s="111"/>
      <c r="AO28" s="111"/>
      <c r="AP28" s="111"/>
      <c r="AQ28" s="33"/>
      <c r="AR28" s="33"/>
      <c r="AS28" s="34"/>
    </row>
    <row r="29" spans="2:45" ht="3" customHeight="1">
      <c r="B29" s="20"/>
      <c r="C29" s="59" t="s">
        <v>68</v>
      </c>
      <c r="D29" s="59"/>
      <c r="E29" s="59"/>
      <c r="F29" s="59"/>
      <c r="G29" s="24"/>
      <c r="I29" s="31"/>
      <c r="J29" s="113"/>
      <c r="K29" s="33"/>
      <c r="L29" s="109"/>
      <c r="M29" s="109"/>
      <c r="N29" s="109"/>
      <c r="O29" s="109"/>
      <c r="P29" s="109"/>
      <c r="Q29" s="109"/>
      <c r="R29" s="33"/>
      <c r="S29" s="110"/>
      <c r="T29" s="110"/>
      <c r="U29" s="110"/>
      <c r="V29" s="33"/>
      <c r="W29" s="55"/>
      <c r="X29" s="33"/>
      <c r="Y29" s="34"/>
      <c r="AA29" s="31"/>
      <c r="AB29" s="109"/>
      <c r="AC29" s="109"/>
      <c r="AD29" s="109"/>
      <c r="AE29" s="109"/>
      <c r="AF29" s="111"/>
      <c r="AG29" s="111"/>
      <c r="AH29" s="111"/>
      <c r="AI29" s="111"/>
      <c r="AJ29" s="111"/>
      <c r="AK29" s="111"/>
      <c r="AL29" s="111"/>
      <c r="AM29" s="111"/>
      <c r="AN29" s="111"/>
      <c r="AO29" s="111"/>
      <c r="AP29" s="111"/>
      <c r="AQ29" s="33"/>
      <c r="AR29" s="33"/>
      <c r="AS29" s="34"/>
    </row>
    <row r="30" spans="2:45" ht="1.5" customHeight="1">
      <c r="B30" s="20"/>
      <c r="C30" s="59"/>
      <c r="D30" s="59"/>
      <c r="E30" s="59"/>
      <c r="F30" s="59"/>
      <c r="G30" s="24"/>
      <c r="I30" s="31"/>
      <c r="J30" s="113"/>
      <c r="K30" s="33"/>
      <c r="L30" s="109"/>
      <c r="M30" s="109"/>
      <c r="N30" s="109"/>
      <c r="O30" s="109"/>
      <c r="P30" s="109"/>
      <c r="Q30" s="109"/>
      <c r="R30" s="33"/>
      <c r="S30" s="33"/>
      <c r="T30" s="33"/>
      <c r="U30" s="33"/>
      <c r="V30" s="33"/>
      <c r="W30" s="55"/>
      <c r="X30" s="33"/>
      <c r="Y30" s="34"/>
      <c r="AA30" s="31"/>
      <c r="AB30" s="109"/>
      <c r="AC30" s="109"/>
      <c r="AD30" s="109"/>
      <c r="AE30" s="109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4"/>
    </row>
    <row r="31" spans="2:45" ht="12" customHeight="1">
      <c r="B31" s="20"/>
      <c r="C31" s="59"/>
      <c r="D31" s="59"/>
      <c r="E31" s="59"/>
      <c r="F31" s="59"/>
      <c r="G31" s="24"/>
      <c r="I31" s="31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4"/>
      <c r="AA31" s="31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4"/>
    </row>
    <row r="32" spans="2:45" ht="1.5" customHeight="1">
      <c r="B32" s="20"/>
      <c r="C32" s="59"/>
      <c r="D32" s="59"/>
      <c r="E32" s="59"/>
      <c r="F32" s="59"/>
      <c r="G32" s="24"/>
      <c r="I32" s="31"/>
      <c r="J32" s="114" t="s">
        <v>117</v>
      </c>
      <c r="K32" s="114"/>
      <c r="L32" s="114"/>
      <c r="M32" s="114"/>
      <c r="N32" s="114"/>
      <c r="O32" s="114"/>
      <c r="P32" s="114"/>
      <c r="Q32" s="114"/>
      <c r="R32" s="114"/>
      <c r="S32" s="114"/>
      <c r="T32" s="114"/>
      <c r="U32" s="114"/>
      <c r="V32" s="114"/>
      <c r="W32" s="114"/>
      <c r="X32" s="114"/>
      <c r="Y32" s="34"/>
      <c r="AA32" s="31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4"/>
    </row>
    <row r="33" spans="2:45" ht="9" customHeight="1">
      <c r="B33" s="20"/>
      <c r="C33" s="48"/>
      <c r="D33" s="49"/>
      <c r="E33" s="49"/>
      <c r="F33" s="48"/>
      <c r="G33" s="24"/>
      <c r="I33" s="31"/>
      <c r="J33" s="114"/>
      <c r="K33" s="114"/>
      <c r="L33" s="114"/>
      <c r="M33" s="114"/>
      <c r="N33" s="114"/>
      <c r="O33" s="114"/>
      <c r="P33" s="114"/>
      <c r="Q33" s="114"/>
      <c r="R33" s="114"/>
      <c r="S33" s="114"/>
      <c r="T33" s="114"/>
      <c r="U33" s="114"/>
      <c r="V33" s="114"/>
      <c r="W33" s="114"/>
      <c r="X33" s="114"/>
      <c r="Y33" s="34"/>
      <c r="AA33" s="31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4"/>
    </row>
    <row r="34" spans="2:45" ht="40.5" customHeight="1">
      <c r="B34" s="20"/>
      <c r="C34" s="48"/>
      <c r="D34" s="48"/>
      <c r="E34" s="48"/>
      <c r="F34" s="48"/>
      <c r="G34" s="24"/>
      <c r="I34" s="31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34"/>
      <c r="AA34" s="31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4"/>
    </row>
    <row r="35" spans="2:45" ht="3" customHeight="1">
      <c r="B35" s="20"/>
      <c r="C35" s="59" t="s">
        <v>69</v>
      </c>
      <c r="D35" s="59"/>
      <c r="E35" s="59"/>
      <c r="F35" s="59"/>
      <c r="G35" s="24"/>
      <c r="I35" s="31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34"/>
      <c r="AA35" s="31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4"/>
    </row>
    <row r="36" spans="2:45" ht="4.5" customHeight="1">
      <c r="B36" s="20"/>
      <c r="C36" s="59"/>
      <c r="D36" s="59"/>
      <c r="E36" s="59"/>
      <c r="F36" s="59"/>
      <c r="G36" s="24"/>
      <c r="I36" s="56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8"/>
      <c r="AA36" s="56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8"/>
    </row>
    <row r="37" spans="2:45" ht="9" customHeight="1">
      <c r="B37" s="20"/>
      <c r="C37" s="59"/>
      <c r="D37" s="59"/>
      <c r="E37" s="59"/>
      <c r="F37" s="59"/>
      <c r="G37" s="24"/>
    </row>
    <row r="38" spans="2:45" ht="1.5" customHeight="1">
      <c r="B38" s="20"/>
      <c r="C38" s="59"/>
      <c r="D38" s="59"/>
      <c r="E38" s="59"/>
      <c r="F38" s="59"/>
      <c r="G38" s="24"/>
      <c r="I38" s="28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30"/>
    </row>
    <row r="39" spans="2:45" ht="1.5" customHeight="1">
      <c r="B39" s="20"/>
      <c r="C39" s="48"/>
      <c r="D39" s="48"/>
      <c r="E39" s="48"/>
      <c r="F39" s="48"/>
      <c r="G39" s="24"/>
      <c r="I39" s="31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4"/>
    </row>
    <row r="40" spans="2:45" ht="7.5" customHeight="1">
      <c r="B40" s="20"/>
      <c r="C40" s="48"/>
      <c r="D40" s="49"/>
      <c r="E40" s="49"/>
      <c r="F40" s="48"/>
      <c r="G40" s="24"/>
      <c r="I40" s="31"/>
      <c r="J40" s="107" t="s">
        <v>125</v>
      </c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4"/>
    </row>
    <row r="41" spans="2:45" ht="16.5" customHeight="1">
      <c r="B41" s="20"/>
      <c r="C41" s="48"/>
      <c r="D41" s="48"/>
      <c r="E41" s="48"/>
      <c r="F41" s="48"/>
      <c r="G41" s="24"/>
      <c r="I41" s="31"/>
      <c r="J41" s="107"/>
      <c r="K41" s="107"/>
      <c r="L41" s="107"/>
      <c r="M41" s="107"/>
      <c r="N41" s="107"/>
      <c r="O41" s="107"/>
      <c r="P41" s="107"/>
      <c r="Q41" s="107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4"/>
    </row>
    <row r="42" spans="2:45" ht="6" customHeight="1">
      <c r="B42" s="20"/>
      <c r="C42" s="48"/>
      <c r="D42" s="48"/>
      <c r="E42" s="48"/>
      <c r="F42" s="48"/>
      <c r="G42" s="24"/>
      <c r="I42" s="31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4"/>
    </row>
    <row r="43" spans="2:45" ht="18" customHeight="1">
      <c r="B43" s="20"/>
      <c r="C43" s="48"/>
      <c r="D43" s="48"/>
      <c r="E43" s="48"/>
      <c r="F43" s="48"/>
      <c r="G43" s="24"/>
      <c r="I43" s="31"/>
      <c r="J43" s="55" t="s">
        <v>126</v>
      </c>
      <c r="K43" s="55"/>
      <c r="L43" s="55"/>
      <c r="M43" s="55"/>
      <c r="N43" s="55"/>
      <c r="O43" s="55"/>
      <c r="P43" s="55"/>
      <c r="Q43" s="115"/>
      <c r="R43" s="115"/>
      <c r="S43" s="115"/>
      <c r="T43" s="115"/>
      <c r="U43" s="33"/>
      <c r="V43" s="55" t="s">
        <v>129</v>
      </c>
      <c r="W43" s="55"/>
      <c r="X43" s="55"/>
      <c r="Y43" s="55"/>
      <c r="Z43" s="55"/>
      <c r="AA43" s="55"/>
      <c r="AB43" s="55"/>
      <c r="AC43" s="116">
        <f>COUNTA('БД'!$B$1:$ZZ$1)</f>
        <v>0.0</v>
      </c>
      <c r="AD43" s="116"/>
      <c r="AE43" s="116"/>
      <c r="AF43" s="116"/>
      <c r="AG43" s="116"/>
      <c r="AH43" s="116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4"/>
    </row>
    <row r="44" spans="2:45" ht="3" customHeight="1">
      <c r="B44" s="20"/>
      <c r="C44" s="59" t="s">
        <v>70</v>
      </c>
      <c r="D44" s="59"/>
      <c r="E44" s="59"/>
      <c r="F44" s="59"/>
      <c r="G44" s="24"/>
      <c r="I44" s="31"/>
      <c r="J44" s="55"/>
      <c r="K44" s="55"/>
      <c r="L44" s="55"/>
      <c r="M44" s="55"/>
      <c r="N44" s="55"/>
      <c r="O44" s="55"/>
      <c r="P44" s="55"/>
      <c r="Q44" s="115"/>
      <c r="R44" s="115"/>
      <c r="S44" s="115"/>
      <c r="T44" s="115"/>
      <c r="U44" s="33"/>
      <c r="V44" s="55"/>
      <c r="W44" s="55"/>
      <c r="X44" s="55"/>
      <c r="Y44" s="55"/>
      <c r="Z44" s="55"/>
      <c r="AA44" s="55"/>
      <c r="AB44" s="55"/>
      <c r="AC44" s="116"/>
      <c r="AD44" s="116"/>
      <c r="AE44" s="116"/>
      <c r="AF44" s="116"/>
      <c r="AG44" s="116"/>
      <c r="AH44" s="116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34"/>
    </row>
    <row r="45" spans="2:45" ht="1.5" customHeight="1">
      <c r="B45" s="20"/>
      <c r="C45" s="59"/>
      <c r="D45" s="59"/>
      <c r="E45" s="59"/>
      <c r="F45" s="59"/>
      <c r="G45" s="24"/>
      <c r="I45" s="31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4"/>
    </row>
    <row r="46" spans="2:45" ht="13.5" customHeight="1">
      <c r="B46" s="20"/>
      <c r="C46" s="59"/>
      <c r="D46" s="59"/>
      <c r="E46" s="59"/>
      <c r="F46" s="59"/>
      <c r="G46" s="24"/>
      <c r="I46" s="31"/>
      <c r="J46" s="55" t="s">
        <v>127</v>
      </c>
      <c r="K46" s="55"/>
      <c r="L46" s="55"/>
      <c r="M46" s="55"/>
      <c r="N46" s="55"/>
      <c r="O46" s="55"/>
      <c r="P46" s="55"/>
      <c r="Q46" s="117"/>
      <c r="R46" s="117"/>
      <c r="S46" s="117"/>
      <c r="T46" s="117"/>
      <c r="U46" s="33"/>
      <c r="V46" s="55" t="s">
        <v>130</v>
      </c>
      <c r="W46" s="55"/>
      <c r="X46" s="55"/>
      <c r="Y46" s="55"/>
      <c r="Z46" s="55"/>
      <c r="AA46" s="55"/>
      <c r="AB46" s="55"/>
      <c r="AC46" s="118">
        <f>COUNT('БД'!$B$3:$ZZ$3702)</f>
        <v>0.0</v>
      </c>
      <c r="AD46" s="118"/>
      <c r="AE46" s="118"/>
      <c r="AF46" s="118"/>
      <c r="AG46" s="118"/>
      <c r="AH46" s="118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4"/>
    </row>
    <row r="47" spans="2:45" ht="7.5" customHeight="1">
      <c r="B47" s="20"/>
      <c r="C47" s="48"/>
      <c r="D47" s="48"/>
      <c r="E47" s="48"/>
      <c r="F47" s="48"/>
      <c r="G47" s="24"/>
      <c r="I47" s="31"/>
      <c r="J47" s="55"/>
      <c r="K47" s="55"/>
      <c r="L47" s="55"/>
      <c r="M47" s="55"/>
      <c r="N47" s="55"/>
      <c r="O47" s="55"/>
      <c r="P47" s="55"/>
      <c r="Q47" s="117"/>
      <c r="R47" s="117"/>
      <c r="S47" s="117"/>
      <c r="T47" s="117"/>
      <c r="U47" s="33"/>
      <c r="V47" s="55"/>
      <c r="W47" s="55"/>
      <c r="X47" s="55"/>
      <c r="Y47" s="55"/>
      <c r="Z47" s="55"/>
      <c r="AA47" s="55"/>
      <c r="AB47" s="55"/>
      <c r="AC47" s="118"/>
      <c r="AD47" s="118"/>
      <c r="AE47" s="118"/>
      <c r="AF47" s="118"/>
      <c r="AG47" s="118"/>
      <c r="AH47" s="118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4"/>
    </row>
    <row r="48" spans="2:45" ht="1.5" customHeight="1">
      <c r="B48" s="20"/>
      <c r="C48" s="48"/>
      <c r="D48" s="49"/>
      <c r="E48" s="49"/>
      <c r="F48" s="48"/>
      <c r="G48" s="24"/>
      <c r="I48" s="31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4"/>
    </row>
    <row r="49" spans="2:45" ht="21" customHeight="1">
      <c r="B49" s="20"/>
      <c r="C49" s="48"/>
      <c r="D49" s="48"/>
      <c r="E49" s="48"/>
      <c r="F49" s="48"/>
      <c r="G49" s="24"/>
      <c r="I49" s="31"/>
      <c r="J49" s="55" t="s">
        <v>128</v>
      </c>
      <c r="K49" s="55"/>
      <c r="L49" s="55"/>
      <c r="M49" s="55"/>
      <c r="N49" s="55"/>
      <c r="O49" s="55"/>
      <c r="P49" s="55"/>
      <c r="Q49" s="117"/>
      <c r="R49" s="117"/>
      <c r="S49" s="117"/>
      <c r="T49" s="117"/>
      <c r="U49" s="33"/>
      <c r="V49" s="55" t="s">
        <v>131</v>
      </c>
      <c r="W49" s="55"/>
      <c r="X49" s="55"/>
      <c r="Y49" s="55"/>
      <c r="Z49" s="55"/>
      <c r="AA49" s="55"/>
      <c r="AB49" s="55"/>
      <c r="AC49" s="117" t="str">
        <f>IF(c_FirstDate="","—",RIGHT("0"&amp;DAY(c_FirstDate),2)&amp;"."&amp;RIGHT("0"&amp;MONTH(c_FirstDate),2)&amp;"."&amp;YEAR(c_FirstDate)&amp;" – "&amp;RIGHT("0"&amp;DAY(c_LastDate),2)&amp;"."&amp;RIGHT("0"&amp;MONTH(c_LastDate),2)&amp;"."&amp;YEAR(c_LastDate))</f>
        <v>—</v>
      </c>
      <c r="AD49" s="117"/>
      <c r="AE49" s="117"/>
      <c r="AF49" s="117"/>
      <c r="AG49" s="117"/>
      <c r="AH49" s="117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4"/>
    </row>
    <row r="50" spans="2:45" ht="4.5" customHeight="1">
      <c r="B50" s="20"/>
      <c r="C50" s="48"/>
      <c r="D50" s="48"/>
      <c r="E50" s="48"/>
      <c r="F50" s="48"/>
      <c r="G50" s="24"/>
      <c r="I50" s="31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4"/>
    </row>
    <row r="51" spans="2:45">
      <c r="B51" s="20"/>
      <c r="C51" s="48"/>
      <c r="D51" s="48"/>
      <c r="E51" s="48"/>
      <c r="F51" s="48"/>
      <c r="G51" s="24"/>
      <c r="I51" s="31"/>
      <c r="J51" s="114" t="s">
        <v>132</v>
      </c>
      <c r="K51" s="114"/>
      <c r="L51" s="114"/>
      <c r="M51" s="114"/>
      <c r="N51" s="114"/>
      <c r="O51" s="114"/>
      <c r="P51" s="114"/>
      <c r="Q51" s="114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  <c r="AD51" s="114"/>
      <c r="AE51" s="114"/>
      <c r="AF51" s="114"/>
      <c r="AG51" s="114"/>
      <c r="AH51" s="114"/>
      <c r="AI51" s="114"/>
      <c r="AJ51" s="114"/>
      <c r="AK51" s="114"/>
      <c r="AL51" s="114"/>
      <c r="AM51" s="114"/>
      <c r="AN51" s="114"/>
      <c r="AO51" s="114"/>
      <c r="AP51" s="114"/>
      <c r="AQ51" s="33"/>
      <c r="AR51" s="33"/>
      <c r="AS51" s="34"/>
    </row>
    <row r="52" spans="2:45">
      <c r="B52" s="20"/>
      <c r="C52" s="59" t="s">
        <v>71</v>
      </c>
      <c r="D52" s="59"/>
      <c r="E52" s="59"/>
      <c r="F52" s="59"/>
      <c r="G52" s="24"/>
      <c r="I52" s="31"/>
      <c r="J52" s="114"/>
      <c r="K52" s="114"/>
      <c r="L52" s="114"/>
      <c r="M52" s="114"/>
      <c r="N52" s="114"/>
      <c r="O52" s="114"/>
      <c r="P52" s="114"/>
      <c r="Q52" s="114"/>
      <c r="R52" s="114"/>
      <c r="S52" s="114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  <c r="AD52" s="114"/>
      <c r="AE52" s="114"/>
      <c r="AF52" s="114"/>
      <c r="AG52" s="114"/>
      <c r="AH52" s="114"/>
      <c r="AI52" s="114"/>
      <c r="AJ52" s="114"/>
      <c r="AK52" s="114"/>
      <c r="AL52" s="114"/>
      <c r="AM52" s="114"/>
      <c r="AN52" s="114"/>
      <c r="AO52" s="114"/>
      <c r="AP52" s="114"/>
      <c r="AQ52" s="33"/>
      <c r="AR52" s="33"/>
      <c r="AS52" s="34"/>
    </row>
    <row r="53" spans="2:45" ht="3" customHeight="1">
      <c r="B53" s="20"/>
      <c r="C53" s="59"/>
      <c r="D53" s="59"/>
      <c r="E53" s="59"/>
      <c r="F53" s="59"/>
      <c r="G53" s="24"/>
      <c r="I53" s="31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4"/>
    </row>
    <row r="54" spans="2:45" ht="1.5" customHeight="1">
      <c r="B54" s="20"/>
      <c r="C54" s="48"/>
      <c r="D54" s="48"/>
      <c r="E54" s="48"/>
      <c r="F54" s="48"/>
      <c r="G54" s="24"/>
      <c r="I54" s="56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8"/>
    </row>
    <row r="55" spans="2:45" ht="7.5" customHeight="1">
      <c r="B55" s="20"/>
      <c r="C55" s="48"/>
      <c r="D55" s="49"/>
      <c r="E55" s="49"/>
      <c r="F55" s="48"/>
      <c r="G55" s="24"/>
    </row>
    <row r="56" spans="2:45" ht="1.5" customHeight="1">
      <c r="B56" s="20"/>
      <c r="C56" s="48"/>
      <c r="D56" s="48"/>
      <c r="E56" s="48"/>
      <c r="F56" s="48"/>
      <c r="G56" s="24"/>
    </row>
    <row r="57" spans="2:45" ht="1.5" customHeight="1">
      <c r="B57" s="20"/>
      <c r="C57" s="48"/>
      <c r="D57" s="48"/>
      <c r="E57" s="48"/>
      <c r="F57" s="48"/>
      <c r="G57" s="24"/>
      <c r="I57" s="28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30"/>
    </row>
    <row r="58" spans="2:45" ht="22.5" customHeight="1">
      <c r="B58" s="20"/>
      <c r="C58" s="21"/>
      <c r="D58" s="22"/>
      <c r="E58" s="22"/>
      <c r="F58" s="23"/>
      <c r="G58" s="24"/>
      <c r="I58" s="31"/>
      <c r="J58" s="107" t="s">
        <v>133</v>
      </c>
      <c r="K58" s="107"/>
      <c r="L58" s="107"/>
      <c r="M58" s="107"/>
      <c r="N58" s="107"/>
      <c r="O58" s="107"/>
      <c r="P58" s="107"/>
      <c r="Q58" s="107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4"/>
    </row>
    <row r="59" spans="2:45" ht="1.5" customHeight="1">
      <c r="B59" s="20"/>
      <c r="C59" s="25"/>
      <c r="D59" s="26"/>
      <c r="E59" s="26"/>
      <c r="F59" s="27"/>
      <c r="G59" s="24"/>
      <c r="I59" s="31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4"/>
    </row>
    <row r="60" spans="2:45" ht="13.5" customHeight="1">
      <c r="B60" s="20"/>
      <c r="C60" s="25"/>
      <c r="D60" s="26"/>
      <c r="E60" s="26"/>
      <c r="F60" s="27"/>
      <c r="G60" s="24"/>
      <c r="I60" s="31"/>
      <c r="J60" s="119" t="s">
        <v>134</v>
      </c>
      <c r="K60" s="119"/>
      <c r="L60" s="119"/>
      <c r="M60" s="119"/>
      <c r="N60" s="119"/>
      <c r="O60" s="119"/>
      <c r="P60" s="119" t="s">
        <v>127</v>
      </c>
      <c r="Q60" s="119"/>
      <c r="R60" s="119"/>
      <c r="S60" s="119"/>
      <c r="T60" s="119" t="s">
        <v>135</v>
      </c>
      <c r="U60" s="119"/>
      <c r="V60" s="119"/>
      <c r="W60" s="119"/>
      <c r="X60" s="119"/>
      <c r="Y60" s="119"/>
      <c r="Z60" s="119" t="s">
        <v>136</v>
      </c>
      <c r="AA60" s="119"/>
      <c r="AB60" s="119"/>
      <c r="AC60" s="119"/>
      <c r="AD60" s="119" t="s">
        <v>137</v>
      </c>
      <c r="AE60" s="119" t="s">
        <v>138</v>
      </c>
      <c r="AF60" s="119"/>
      <c r="AG60" s="119" t="s">
        <v>139</v>
      </c>
      <c r="AH60" s="119"/>
      <c r="AI60" s="119"/>
      <c r="AJ60" s="119"/>
      <c r="AK60" s="119"/>
      <c r="AL60" s="119" t="s">
        <v>14</v>
      </c>
      <c r="AM60" s="119"/>
      <c r="AN60" s="119"/>
      <c r="AO60" s="119" t="s">
        <v>140</v>
      </c>
      <c r="AP60" s="119"/>
      <c r="AQ60" s="33"/>
      <c r="AR60" s="33"/>
      <c r="AS60" s="34"/>
    </row>
    <row r="61" spans="2:45" ht="9" customHeight="1">
      <c r="B61" s="20"/>
      <c r="C61" s="35" t="s">
        <v>72</v>
      </c>
      <c r="D61" s="35"/>
      <c r="E61" s="35"/>
      <c r="F61" s="35"/>
      <c r="G61" s="24"/>
      <c r="I61" s="31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  <c r="X61" s="119"/>
      <c r="Y61" s="119"/>
      <c r="Z61" s="119"/>
      <c r="AA61" s="119"/>
      <c r="AB61" s="119"/>
      <c r="AC61" s="119"/>
      <c r="AD61" s="119"/>
      <c r="AE61" s="119"/>
      <c r="AF61" s="119"/>
      <c r="AG61" s="119"/>
      <c r="AH61" s="119"/>
      <c r="AI61" s="119"/>
      <c r="AJ61" s="119"/>
      <c r="AK61" s="119"/>
      <c r="AL61" s="119"/>
      <c r="AM61" s="119"/>
      <c r="AN61" s="119"/>
      <c r="AO61" s="119"/>
      <c r="AP61" s="119"/>
      <c r="AQ61" s="33"/>
      <c r="AR61" s="33"/>
      <c r="AS61" s="34"/>
    </row>
    <row r="62" spans="2:45" ht="9" customHeight="1">
      <c r="B62" s="20"/>
      <c r="C62" s="35"/>
      <c r="D62" s="35"/>
      <c r="E62" s="35"/>
      <c r="F62" s="35"/>
      <c r="G62" s="24"/>
      <c r="I62" s="31"/>
      <c r="J62" s="120"/>
      <c r="K62" s="120"/>
      <c r="L62" s="120"/>
      <c r="M62" s="120"/>
      <c r="N62" s="120"/>
      <c r="O62" s="120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2"/>
      <c r="AA62" s="122"/>
      <c r="AB62" s="122"/>
      <c r="AC62" s="122"/>
      <c r="AD62" s="122"/>
      <c r="AE62" s="122"/>
      <c r="AF62" s="122"/>
      <c r="AG62" s="122"/>
      <c r="AH62" s="122"/>
      <c r="AI62" s="122"/>
      <c r="AJ62" s="122"/>
      <c r="AK62" s="122"/>
      <c r="AL62" s="123"/>
      <c r="AM62" s="123"/>
      <c r="AN62" s="123"/>
      <c r="AO62" s="124"/>
      <c r="AP62" s="124"/>
      <c r="AQ62" s="33"/>
      <c r="AR62" s="33"/>
      <c r="AS62" s="34"/>
    </row>
    <row r="63" spans="2:45" ht="6" customHeight="1">
      <c r="B63" s="20"/>
      <c r="C63" s="45"/>
      <c r="D63" s="46"/>
      <c r="E63" s="46"/>
      <c r="F63" s="47"/>
      <c r="G63" s="24"/>
      <c r="I63" s="31"/>
      <c r="J63" s="120"/>
      <c r="K63" s="120"/>
      <c r="L63" s="120"/>
      <c r="M63" s="120"/>
      <c r="N63" s="120"/>
      <c r="O63" s="120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2"/>
      <c r="AA63" s="122"/>
      <c r="AB63" s="122"/>
      <c r="AC63" s="122"/>
      <c r="AD63" s="122"/>
      <c r="AE63" s="122"/>
      <c r="AF63" s="122"/>
      <c r="AG63" s="122"/>
      <c r="AH63" s="122"/>
      <c r="AI63" s="122"/>
      <c r="AJ63" s="122"/>
      <c r="AK63" s="122"/>
      <c r="AL63" s="123"/>
      <c r="AM63" s="123"/>
      <c r="AN63" s="123"/>
      <c r="AO63" s="124"/>
      <c r="AP63" s="124"/>
      <c r="AQ63" s="33"/>
      <c r="AR63" s="33"/>
      <c r="AS63" s="34"/>
    </row>
    <row r="64" spans="2:45" ht="1.5" customHeight="1">
      <c r="B64" s="20"/>
      <c r="C64" s="48"/>
      <c r="D64" s="48"/>
      <c r="E64" s="48"/>
      <c r="F64" s="48"/>
      <c r="G64" s="24"/>
      <c r="I64" s="31"/>
      <c r="J64" s="120"/>
      <c r="K64" s="120"/>
      <c r="L64" s="120"/>
      <c r="M64" s="120"/>
      <c r="N64" s="120"/>
      <c r="O64" s="120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2"/>
      <c r="AA64" s="122"/>
      <c r="AB64" s="122"/>
      <c r="AC64" s="122"/>
      <c r="AD64" s="122"/>
      <c r="AE64" s="122"/>
      <c r="AF64" s="122"/>
      <c r="AG64" s="122"/>
      <c r="AH64" s="122"/>
      <c r="AI64" s="122"/>
      <c r="AJ64" s="122"/>
      <c r="AK64" s="122"/>
      <c r="AL64" s="123"/>
      <c r="AM64" s="123"/>
      <c r="AN64" s="123"/>
      <c r="AO64" s="124"/>
      <c r="AP64" s="124"/>
      <c r="AQ64" s="33"/>
      <c r="AR64" s="33"/>
      <c r="AS64" s="34"/>
    </row>
    <row r="65" spans="2:45" ht="16.5" customHeight="1">
      <c r="B65" s="20"/>
      <c r="C65" s="48"/>
      <c r="D65" s="48"/>
      <c r="E65" s="48"/>
      <c r="F65" s="48"/>
      <c r="G65" s="24"/>
      <c r="I65" s="31"/>
      <c r="J65" s="120"/>
      <c r="K65" s="120"/>
      <c r="L65" s="120"/>
      <c r="M65" s="120"/>
      <c r="N65" s="120"/>
      <c r="O65" s="120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2"/>
      <c r="AA65" s="122"/>
      <c r="AB65" s="122"/>
      <c r="AC65" s="122"/>
      <c r="AD65" s="122"/>
      <c r="AE65" s="122"/>
      <c r="AF65" s="122"/>
      <c r="AG65" s="122"/>
      <c r="AH65" s="122"/>
      <c r="AI65" s="122"/>
      <c r="AJ65" s="122"/>
      <c r="AK65" s="122"/>
      <c r="AL65" s="123"/>
      <c r="AM65" s="123"/>
      <c r="AN65" s="123"/>
      <c r="AO65" s="124"/>
      <c r="AP65" s="124"/>
      <c r="AQ65" s="33"/>
      <c r="AR65" s="33"/>
      <c r="AS65" s="34"/>
    </row>
    <row r="66" spans="2:45" ht="16.5" customHeight="1">
      <c r="B66" s="20"/>
      <c r="C66" s="48"/>
      <c r="D66" s="48"/>
      <c r="E66" s="48"/>
      <c r="F66" s="48"/>
      <c r="G66" s="24"/>
      <c r="I66" s="31"/>
      <c r="J66" s="120"/>
      <c r="K66" s="120"/>
      <c r="L66" s="120"/>
      <c r="M66" s="120"/>
      <c r="N66" s="120"/>
      <c r="O66" s="120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2"/>
      <c r="AA66" s="122"/>
      <c r="AB66" s="122"/>
      <c r="AC66" s="122"/>
      <c r="AD66" s="122"/>
      <c r="AE66" s="122"/>
      <c r="AF66" s="122"/>
      <c r="AG66" s="122"/>
      <c r="AH66" s="122"/>
      <c r="AI66" s="122"/>
      <c r="AJ66" s="122"/>
      <c r="AK66" s="122"/>
      <c r="AL66" s="123"/>
      <c r="AM66" s="123"/>
      <c r="AN66" s="123"/>
      <c r="AO66" s="124"/>
      <c r="AP66" s="124"/>
      <c r="AQ66" s="33"/>
      <c r="AR66" s="33"/>
      <c r="AS66" s="34"/>
    </row>
    <row r="67" spans="2:45" ht="16.5" customHeight="1">
      <c r="B67" s="20"/>
      <c r="C67" s="48"/>
      <c r="D67" s="48"/>
      <c r="E67" s="48"/>
      <c r="F67" s="48"/>
      <c r="G67" s="24"/>
      <c r="I67" s="31"/>
      <c r="J67" s="120"/>
      <c r="K67" s="120"/>
      <c r="L67" s="120"/>
      <c r="M67" s="120"/>
      <c r="N67" s="120"/>
      <c r="O67" s="120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2"/>
      <c r="AA67" s="122"/>
      <c r="AB67" s="122"/>
      <c r="AC67" s="122"/>
      <c r="AD67" s="122"/>
      <c r="AE67" s="122"/>
      <c r="AF67" s="122"/>
      <c r="AG67" s="122"/>
      <c r="AH67" s="122"/>
      <c r="AI67" s="122"/>
      <c r="AJ67" s="122"/>
      <c r="AK67" s="122"/>
      <c r="AL67" s="123"/>
      <c r="AM67" s="123"/>
      <c r="AN67" s="123"/>
      <c r="AO67" s="124"/>
      <c r="AP67" s="124"/>
      <c r="AQ67" s="33"/>
      <c r="AR67" s="33"/>
      <c r="AS67" s="34"/>
    </row>
    <row r="68" spans="2:45" ht="16.5" customHeight="1">
      <c r="B68" s="20"/>
      <c r="C68" s="48"/>
      <c r="D68" s="48"/>
      <c r="E68" s="48"/>
      <c r="F68" s="48"/>
      <c r="G68" s="24"/>
      <c r="I68" s="31"/>
      <c r="J68" s="120"/>
      <c r="K68" s="120"/>
      <c r="L68" s="120"/>
      <c r="M68" s="120"/>
      <c r="N68" s="120"/>
      <c r="O68" s="120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2"/>
      <c r="AA68" s="122"/>
      <c r="AB68" s="122"/>
      <c r="AC68" s="122"/>
      <c r="AD68" s="122"/>
      <c r="AE68" s="122"/>
      <c r="AF68" s="122"/>
      <c r="AG68" s="122"/>
      <c r="AH68" s="122"/>
      <c r="AI68" s="122"/>
      <c r="AJ68" s="122"/>
      <c r="AK68" s="122"/>
      <c r="AL68" s="123"/>
      <c r="AM68" s="123"/>
      <c r="AN68" s="123"/>
      <c r="AO68" s="124"/>
      <c r="AP68" s="124"/>
      <c r="AQ68" s="33"/>
      <c r="AR68" s="33"/>
      <c r="AS68" s="34"/>
    </row>
    <row r="69" spans="2:45" ht="16.5" customHeight="1">
      <c r="B69" s="20"/>
      <c r="C69" s="48"/>
      <c r="D69" s="48"/>
      <c r="E69" s="48"/>
      <c r="F69" s="48"/>
      <c r="G69" s="24"/>
      <c r="I69" s="31"/>
      <c r="J69" s="120"/>
      <c r="K69" s="120"/>
      <c r="L69" s="120"/>
      <c r="M69" s="120"/>
      <c r="N69" s="120"/>
      <c r="O69" s="120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2"/>
      <c r="AA69" s="122"/>
      <c r="AB69" s="122"/>
      <c r="AC69" s="122"/>
      <c r="AD69" s="122"/>
      <c r="AE69" s="122"/>
      <c r="AF69" s="122"/>
      <c r="AG69" s="122"/>
      <c r="AH69" s="122"/>
      <c r="AI69" s="122"/>
      <c r="AJ69" s="122"/>
      <c r="AK69" s="122"/>
      <c r="AL69" s="123"/>
      <c r="AM69" s="123"/>
      <c r="AN69" s="123"/>
      <c r="AO69" s="124"/>
      <c r="AP69" s="124"/>
      <c r="AQ69" s="33"/>
      <c r="AR69" s="33"/>
      <c r="AS69" s="34"/>
    </row>
    <row r="70" spans="2:45" ht="16.5" customHeight="1">
      <c r="B70" s="20"/>
      <c r="C70" s="48"/>
      <c r="D70" s="48"/>
      <c r="E70" s="48"/>
      <c r="F70" s="48"/>
      <c r="G70" s="24"/>
      <c r="I70" s="31"/>
      <c r="J70" s="120"/>
      <c r="K70" s="120"/>
      <c r="L70" s="120"/>
      <c r="M70" s="120"/>
      <c r="N70" s="120"/>
      <c r="O70" s="120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2"/>
      <c r="AA70" s="122"/>
      <c r="AB70" s="122"/>
      <c r="AC70" s="122"/>
      <c r="AD70" s="122"/>
      <c r="AE70" s="122"/>
      <c r="AF70" s="122"/>
      <c r="AG70" s="122"/>
      <c r="AH70" s="122"/>
      <c r="AI70" s="122"/>
      <c r="AJ70" s="122"/>
      <c r="AK70" s="122"/>
      <c r="AL70" s="123"/>
      <c r="AM70" s="123"/>
      <c r="AN70" s="123"/>
      <c r="AO70" s="124"/>
      <c r="AP70" s="124"/>
      <c r="AQ70" s="33"/>
      <c r="AR70" s="33"/>
      <c r="AS70" s="34"/>
    </row>
    <row r="71" spans="2:45" ht="16.5" customHeight="1">
      <c r="B71" s="20"/>
      <c r="C71" s="48"/>
      <c r="D71" s="48"/>
      <c r="E71" s="48"/>
      <c r="F71" s="48"/>
      <c r="G71" s="24"/>
      <c r="I71" s="31"/>
      <c r="J71" s="120"/>
      <c r="K71" s="120"/>
      <c r="L71" s="120"/>
      <c r="M71" s="120"/>
      <c r="N71" s="120"/>
      <c r="O71" s="120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2"/>
      <c r="AA71" s="122"/>
      <c r="AB71" s="122"/>
      <c r="AC71" s="122"/>
      <c r="AD71" s="122"/>
      <c r="AE71" s="122"/>
      <c r="AF71" s="122"/>
      <c r="AG71" s="122"/>
      <c r="AH71" s="122"/>
      <c r="AI71" s="122"/>
      <c r="AJ71" s="122"/>
      <c r="AK71" s="122"/>
      <c r="AL71" s="123"/>
      <c r="AM71" s="123"/>
      <c r="AN71" s="123"/>
      <c r="AO71" s="124"/>
      <c r="AP71" s="124"/>
      <c r="AQ71" s="33"/>
      <c r="AR71" s="33"/>
      <c r="AS71" s="34"/>
    </row>
    <row r="72" spans="2:45" ht="16.5" customHeight="1">
      <c r="B72" s="20"/>
      <c r="C72" s="48"/>
      <c r="D72" s="48"/>
      <c r="E72" s="48"/>
      <c r="F72" s="48"/>
      <c r="G72" s="24"/>
      <c r="I72" s="31"/>
      <c r="J72" s="120"/>
      <c r="K72" s="120"/>
      <c r="L72" s="120"/>
      <c r="M72" s="120"/>
      <c r="N72" s="120"/>
      <c r="O72" s="120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2"/>
      <c r="AA72" s="122"/>
      <c r="AB72" s="122"/>
      <c r="AC72" s="122"/>
      <c r="AD72" s="122"/>
      <c r="AE72" s="122"/>
      <c r="AF72" s="122"/>
      <c r="AG72" s="122"/>
      <c r="AH72" s="122"/>
      <c r="AI72" s="122"/>
      <c r="AJ72" s="122"/>
      <c r="AK72" s="122"/>
      <c r="AL72" s="123"/>
      <c r="AM72" s="123"/>
      <c r="AN72" s="123"/>
      <c r="AO72" s="124"/>
      <c r="AP72" s="124"/>
      <c r="AQ72" s="33"/>
      <c r="AR72" s="33"/>
      <c r="AS72" s="34"/>
    </row>
    <row r="73" spans="2:45" ht="16.5" customHeight="1">
      <c r="B73" s="20"/>
      <c r="C73" s="48"/>
      <c r="D73" s="48"/>
      <c r="E73" s="48"/>
      <c r="F73" s="48"/>
      <c r="G73" s="24"/>
      <c r="I73" s="31"/>
      <c r="J73" s="120"/>
      <c r="K73" s="120"/>
      <c r="L73" s="120"/>
      <c r="M73" s="120"/>
      <c r="N73" s="120"/>
      <c r="O73" s="120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2"/>
      <c r="AA73" s="122"/>
      <c r="AB73" s="122"/>
      <c r="AC73" s="122"/>
      <c r="AD73" s="122"/>
      <c r="AE73" s="122"/>
      <c r="AF73" s="122"/>
      <c r="AG73" s="122"/>
      <c r="AH73" s="122"/>
      <c r="AI73" s="122"/>
      <c r="AJ73" s="122"/>
      <c r="AK73" s="122"/>
      <c r="AL73" s="123"/>
      <c r="AM73" s="123"/>
      <c r="AN73" s="123"/>
      <c r="AO73" s="124"/>
      <c r="AP73" s="124"/>
      <c r="AQ73" s="33"/>
      <c r="AR73" s="33"/>
      <c r="AS73" s="34"/>
    </row>
    <row r="74" spans="2:45" ht="16.5" customHeight="1">
      <c r="B74" s="20"/>
      <c r="C74" s="48"/>
      <c r="D74" s="48"/>
      <c r="E74" s="48"/>
      <c r="F74" s="48"/>
      <c r="G74" s="24"/>
      <c r="I74" s="31"/>
      <c r="J74" s="120"/>
      <c r="K74" s="120"/>
      <c r="L74" s="120"/>
      <c r="M74" s="120"/>
      <c r="N74" s="120"/>
      <c r="O74" s="120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2"/>
      <c r="AA74" s="122"/>
      <c r="AB74" s="122"/>
      <c r="AC74" s="122"/>
      <c r="AD74" s="122"/>
      <c r="AE74" s="122"/>
      <c r="AF74" s="122"/>
      <c r="AG74" s="122"/>
      <c r="AH74" s="122"/>
      <c r="AI74" s="122"/>
      <c r="AJ74" s="122"/>
      <c r="AK74" s="122"/>
      <c r="AL74" s="123"/>
      <c r="AM74" s="123"/>
      <c r="AN74" s="123"/>
      <c r="AO74" s="124"/>
      <c r="AP74" s="124"/>
      <c r="AQ74" s="33"/>
      <c r="AR74" s="33"/>
      <c r="AS74" s="34"/>
    </row>
    <row r="75" spans="2:45" ht="16.5" customHeight="1">
      <c r="B75" s="20"/>
      <c r="C75" s="48"/>
      <c r="D75" s="48"/>
      <c r="E75" s="48"/>
      <c r="F75" s="48"/>
      <c r="G75" s="24"/>
      <c r="I75" s="31"/>
      <c r="J75" s="120"/>
      <c r="K75" s="120"/>
      <c r="L75" s="120"/>
      <c r="M75" s="120"/>
      <c r="N75" s="120"/>
      <c r="O75" s="120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2"/>
      <c r="AA75" s="122"/>
      <c r="AB75" s="122"/>
      <c r="AC75" s="122"/>
      <c r="AD75" s="122"/>
      <c r="AE75" s="122"/>
      <c r="AF75" s="122"/>
      <c r="AG75" s="122"/>
      <c r="AH75" s="122"/>
      <c r="AI75" s="122"/>
      <c r="AJ75" s="122"/>
      <c r="AK75" s="122"/>
      <c r="AL75" s="123"/>
      <c r="AM75" s="123"/>
      <c r="AN75" s="123"/>
      <c r="AO75" s="124"/>
      <c r="AP75" s="124"/>
      <c r="AQ75" s="33"/>
      <c r="AR75" s="33"/>
      <c r="AS75" s="34"/>
    </row>
    <row r="76" spans="2:45" ht="16.5" customHeight="1">
      <c r="B76" s="20"/>
      <c r="C76" s="48"/>
      <c r="D76" s="48"/>
      <c r="E76" s="48"/>
      <c r="F76" s="48"/>
      <c r="G76" s="24"/>
      <c r="I76" s="31"/>
      <c r="J76" s="120"/>
      <c r="K76" s="120"/>
      <c r="L76" s="120"/>
      <c r="M76" s="120"/>
      <c r="N76" s="120"/>
      <c r="O76" s="120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2"/>
      <c r="AA76" s="122"/>
      <c r="AB76" s="122"/>
      <c r="AC76" s="122"/>
      <c r="AD76" s="122"/>
      <c r="AE76" s="122"/>
      <c r="AF76" s="122"/>
      <c r="AG76" s="122"/>
      <c r="AH76" s="122"/>
      <c r="AI76" s="122"/>
      <c r="AJ76" s="122"/>
      <c r="AK76" s="122"/>
      <c r="AL76" s="123"/>
      <c r="AM76" s="123"/>
      <c r="AN76" s="123"/>
      <c r="AO76" s="124"/>
      <c r="AP76" s="124"/>
      <c r="AQ76" s="33"/>
      <c r="AR76" s="33"/>
      <c r="AS76" s="34"/>
    </row>
    <row r="77" spans="2:45" ht="16.5" customHeight="1">
      <c r="B77" s="20"/>
      <c r="C77" s="48"/>
      <c r="D77" s="48"/>
      <c r="E77" s="48"/>
      <c r="F77" s="48"/>
      <c r="G77" s="24"/>
      <c r="I77" s="31"/>
      <c r="J77" s="120"/>
      <c r="K77" s="120"/>
      <c r="L77" s="120"/>
      <c r="M77" s="120"/>
      <c r="N77" s="120"/>
      <c r="O77" s="120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2"/>
      <c r="AA77" s="122"/>
      <c r="AB77" s="122"/>
      <c r="AC77" s="122"/>
      <c r="AD77" s="122"/>
      <c r="AE77" s="122"/>
      <c r="AF77" s="122"/>
      <c r="AG77" s="122"/>
      <c r="AH77" s="122"/>
      <c r="AI77" s="122"/>
      <c r="AJ77" s="122"/>
      <c r="AK77" s="122"/>
      <c r="AL77" s="123"/>
      <c r="AM77" s="123"/>
      <c r="AN77" s="123"/>
      <c r="AO77" s="124"/>
      <c r="AP77" s="124"/>
      <c r="AQ77" s="33"/>
      <c r="AR77" s="33"/>
      <c r="AS77" s="34"/>
    </row>
    <row r="78" spans="2:45" ht="16.5" customHeight="1">
      <c r="B78" s="20"/>
      <c r="C78" s="48"/>
      <c r="D78" s="48"/>
      <c r="E78" s="48"/>
      <c r="F78" s="48"/>
      <c r="G78" s="24"/>
      <c r="I78" s="31"/>
      <c r="J78" s="120"/>
      <c r="K78" s="120"/>
      <c r="L78" s="120"/>
      <c r="M78" s="120"/>
      <c r="N78" s="120"/>
      <c r="O78" s="120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2"/>
      <c r="AA78" s="122"/>
      <c r="AB78" s="122"/>
      <c r="AC78" s="122"/>
      <c r="AD78" s="122"/>
      <c r="AE78" s="122"/>
      <c r="AF78" s="122"/>
      <c r="AG78" s="122"/>
      <c r="AH78" s="122"/>
      <c r="AI78" s="122"/>
      <c r="AJ78" s="122"/>
      <c r="AK78" s="122"/>
      <c r="AL78" s="123"/>
      <c r="AM78" s="123"/>
      <c r="AN78" s="123"/>
      <c r="AO78" s="124"/>
      <c r="AP78" s="124"/>
      <c r="AQ78" s="33"/>
      <c r="AR78" s="33"/>
      <c r="AS78" s="34"/>
    </row>
    <row r="79" spans="2:45" ht="16.5" customHeight="1">
      <c r="B79" s="20"/>
      <c r="C79" s="48"/>
      <c r="D79" s="48"/>
      <c r="E79" s="48"/>
      <c r="F79" s="48"/>
      <c r="G79" s="24"/>
      <c r="I79" s="31"/>
      <c r="J79" s="120"/>
      <c r="K79" s="120"/>
      <c r="L79" s="120"/>
      <c r="M79" s="120"/>
      <c r="N79" s="120"/>
      <c r="O79" s="120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2"/>
      <c r="AA79" s="122"/>
      <c r="AB79" s="122"/>
      <c r="AC79" s="122"/>
      <c r="AD79" s="122"/>
      <c r="AE79" s="122"/>
      <c r="AF79" s="122"/>
      <c r="AG79" s="122"/>
      <c r="AH79" s="122"/>
      <c r="AI79" s="122"/>
      <c r="AJ79" s="122"/>
      <c r="AK79" s="122"/>
      <c r="AL79" s="123"/>
      <c r="AM79" s="123"/>
      <c r="AN79" s="123"/>
      <c r="AO79" s="124"/>
      <c r="AP79" s="124"/>
      <c r="AQ79" s="33"/>
      <c r="AR79" s="33"/>
      <c r="AS79" s="34"/>
    </row>
    <row r="80" spans="2:45" ht="16.5" customHeight="1">
      <c r="B80" s="20"/>
      <c r="C80" s="48"/>
      <c r="D80" s="48"/>
      <c r="E80" s="48"/>
      <c r="F80" s="48"/>
      <c r="G80" s="24"/>
      <c r="I80" s="31"/>
      <c r="J80" s="120"/>
      <c r="K80" s="120"/>
      <c r="L80" s="120"/>
      <c r="M80" s="120"/>
      <c r="N80" s="120"/>
      <c r="O80" s="120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2"/>
      <c r="AA80" s="122"/>
      <c r="AB80" s="122"/>
      <c r="AC80" s="122"/>
      <c r="AD80" s="122"/>
      <c r="AE80" s="122"/>
      <c r="AF80" s="122"/>
      <c r="AG80" s="122"/>
      <c r="AH80" s="122"/>
      <c r="AI80" s="122"/>
      <c r="AJ80" s="122"/>
      <c r="AK80" s="122"/>
      <c r="AL80" s="123"/>
      <c r="AM80" s="123"/>
      <c r="AN80" s="123"/>
      <c r="AO80" s="124"/>
      <c r="AP80" s="124"/>
      <c r="AQ80" s="33"/>
      <c r="AR80" s="33"/>
      <c r="AS80" s="34"/>
    </row>
    <row r="81" spans="2:45" ht="16.5" customHeight="1">
      <c r="B81" s="20"/>
      <c r="C81" s="48"/>
      <c r="D81" s="48"/>
      <c r="E81" s="48"/>
      <c r="F81" s="48"/>
      <c r="G81" s="24"/>
      <c r="I81" s="31"/>
      <c r="J81" s="120"/>
      <c r="K81" s="120"/>
      <c r="L81" s="120"/>
      <c r="M81" s="120"/>
      <c r="N81" s="120"/>
      <c r="O81" s="120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2"/>
      <c r="AA81" s="122"/>
      <c r="AB81" s="122"/>
      <c r="AC81" s="122"/>
      <c r="AD81" s="122"/>
      <c r="AE81" s="122"/>
      <c r="AF81" s="122"/>
      <c r="AG81" s="122"/>
      <c r="AH81" s="122"/>
      <c r="AI81" s="122"/>
      <c r="AJ81" s="122"/>
      <c r="AK81" s="122"/>
      <c r="AL81" s="123"/>
      <c r="AM81" s="123"/>
      <c r="AN81" s="123"/>
      <c r="AO81" s="124"/>
      <c r="AP81" s="124"/>
      <c r="AQ81" s="33"/>
      <c r="AR81" s="33"/>
      <c r="AS81" s="34"/>
    </row>
    <row r="82" spans="2:45" ht="16.5" customHeight="1">
      <c r="B82" s="20"/>
      <c r="C82" s="48"/>
      <c r="D82" s="48"/>
      <c r="E82" s="48"/>
      <c r="F82" s="48"/>
      <c r="G82" s="24"/>
      <c r="I82" s="31"/>
      <c r="J82" s="120"/>
      <c r="K82" s="120"/>
      <c r="L82" s="120"/>
      <c r="M82" s="120"/>
      <c r="N82" s="120"/>
      <c r="O82" s="120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2"/>
      <c r="AA82" s="122"/>
      <c r="AB82" s="122"/>
      <c r="AC82" s="122"/>
      <c r="AD82" s="122"/>
      <c r="AE82" s="122"/>
      <c r="AF82" s="122"/>
      <c r="AG82" s="122"/>
      <c r="AH82" s="122"/>
      <c r="AI82" s="122"/>
      <c r="AJ82" s="122"/>
      <c r="AK82" s="122"/>
      <c r="AL82" s="123"/>
      <c r="AM82" s="123"/>
      <c r="AN82" s="123"/>
      <c r="AO82" s="124"/>
      <c r="AP82" s="124"/>
      <c r="AQ82" s="33"/>
      <c r="AR82" s="33"/>
      <c r="AS82" s="34"/>
    </row>
    <row r="83" spans="2:45" ht="16.5" customHeight="1">
      <c r="B83" s="20"/>
      <c r="C83" s="48"/>
      <c r="D83" s="48"/>
      <c r="E83" s="48"/>
      <c r="F83" s="48"/>
      <c r="G83" s="24"/>
      <c r="I83" s="31"/>
      <c r="J83" s="120"/>
      <c r="K83" s="120"/>
      <c r="L83" s="120"/>
      <c r="M83" s="120"/>
      <c r="N83" s="120"/>
      <c r="O83" s="120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2"/>
      <c r="AA83" s="122"/>
      <c r="AB83" s="122"/>
      <c r="AC83" s="122"/>
      <c r="AD83" s="122"/>
      <c r="AE83" s="122"/>
      <c r="AF83" s="122"/>
      <c r="AG83" s="122"/>
      <c r="AH83" s="122"/>
      <c r="AI83" s="122"/>
      <c r="AJ83" s="122"/>
      <c r="AK83" s="122"/>
      <c r="AL83" s="123"/>
      <c r="AM83" s="123"/>
      <c r="AN83" s="123"/>
      <c r="AO83" s="124"/>
      <c r="AP83" s="124"/>
      <c r="AQ83" s="33"/>
      <c r="AR83" s="33"/>
      <c r="AS83" s="34"/>
    </row>
    <row r="84" spans="2:45" ht="16.5" customHeight="1">
      <c r="B84" s="20"/>
      <c r="C84" s="48"/>
      <c r="D84" s="48"/>
      <c r="E84" s="48"/>
      <c r="F84" s="48"/>
      <c r="G84" s="24"/>
      <c r="I84" s="31"/>
      <c r="J84" s="120"/>
      <c r="K84" s="120"/>
      <c r="L84" s="120"/>
      <c r="M84" s="120"/>
      <c r="N84" s="120"/>
      <c r="O84" s="120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2"/>
      <c r="AA84" s="122"/>
      <c r="AB84" s="122"/>
      <c r="AC84" s="122"/>
      <c r="AD84" s="122"/>
      <c r="AE84" s="122"/>
      <c r="AF84" s="122"/>
      <c r="AG84" s="122"/>
      <c r="AH84" s="122"/>
      <c r="AI84" s="122"/>
      <c r="AJ84" s="122"/>
      <c r="AK84" s="122"/>
      <c r="AL84" s="123"/>
      <c r="AM84" s="123"/>
      <c r="AN84" s="123"/>
      <c r="AO84" s="124"/>
      <c r="AP84" s="124"/>
      <c r="AQ84" s="33"/>
      <c r="AR84" s="33"/>
      <c r="AS84" s="34"/>
    </row>
    <row r="85" spans="2:45" ht="16.5" customHeight="1">
      <c r="B85" s="20"/>
      <c r="C85" s="48"/>
      <c r="D85" s="48"/>
      <c r="E85" s="48"/>
      <c r="F85" s="48"/>
      <c r="G85" s="24"/>
      <c r="I85" s="31"/>
      <c r="J85" s="120"/>
      <c r="K85" s="120"/>
      <c r="L85" s="120"/>
      <c r="M85" s="120"/>
      <c r="N85" s="120"/>
      <c r="O85" s="120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2"/>
      <c r="AA85" s="122"/>
      <c r="AB85" s="122"/>
      <c r="AC85" s="122"/>
      <c r="AD85" s="122"/>
      <c r="AE85" s="122"/>
      <c r="AF85" s="122"/>
      <c r="AG85" s="122"/>
      <c r="AH85" s="122"/>
      <c r="AI85" s="122"/>
      <c r="AJ85" s="122"/>
      <c r="AK85" s="122"/>
      <c r="AL85" s="123"/>
      <c r="AM85" s="123"/>
      <c r="AN85" s="123"/>
      <c r="AO85" s="124"/>
      <c r="AP85" s="124"/>
      <c r="AQ85" s="33"/>
      <c r="AR85" s="33"/>
      <c r="AS85" s="34"/>
    </row>
    <row r="86" spans="2:45" ht="16.5" customHeight="1">
      <c r="B86" s="20"/>
      <c r="C86" s="48"/>
      <c r="D86" s="48"/>
      <c r="E86" s="48"/>
      <c r="F86" s="48"/>
      <c r="G86" s="24"/>
      <c r="I86" s="31"/>
      <c r="J86" s="120"/>
      <c r="K86" s="120"/>
      <c r="L86" s="120"/>
      <c r="M86" s="120"/>
      <c r="N86" s="120"/>
      <c r="O86" s="120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2"/>
      <c r="AA86" s="122"/>
      <c r="AB86" s="122"/>
      <c r="AC86" s="122"/>
      <c r="AD86" s="122"/>
      <c r="AE86" s="122"/>
      <c r="AF86" s="122"/>
      <c r="AG86" s="122"/>
      <c r="AH86" s="122"/>
      <c r="AI86" s="122"/>
      <c r="AJ86" s="122"/>
      <c r="AK86" s="122"/>
      <c r="AL86" s="123"/>
      <c r="AM86" s="123"/>
      <c r="AN86" s="123"/>
      <c r="AO86" s="124"/>
      <c r="AP86" s="124"/>
      <c r="AQ86" s="33"/>
      <c r="AR86" s="33"/>
      <c r="AS86" s="34"/>
    </row>
    <row r="87" spans="2:45" ht="16.5" customHeight="1">
      <c r="B87" s="20"/>
      <c r="C87" s="48"/>
      <c r="D87" s="48"/>
      <c r="E87" s="48"/>
      <c r="F87" s="48"/>
      <c r="G87" s="24"/>
      <c r="I87" s="31"/>
      <c r="J87" s="120"/>
      <c r="K87" s="120"/>
      <c r="L87" s="120"/>
      <c r="M87" s="120"/>
      <c r="N87" s="120"/>
      <c r="O87" s="120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2"/>
      <c r="AA87" s="122"/>
      <c r="AB87" s="122"/>
      <c r="AC87" s="122"/>
      <c r="AD87" s="122"/>
      <c r="AE87" s="122"/>
      <c r="AF87" s="122"/>
      <c r="AG87" s="122"/>
      <c r="AH87" s="122"/>
      <c r="AI87" s="122"/>
      <c r="AJ87" s="122"/>
      <c r="AK87" s="122"/>
      <c r="AL87" s="123"/>
      <c r="AM87" s="123"/>
      <c r="AN87" s="123"/>
      <c r="AO87" s="124"/>
      <c r="AP87" s="124"/>
      <c r="AQ87" s="33"/>
      <c r="AR87" s="33"/>
      <c r="AS87" s="34"/>
    </row>
    <row r="88" spans="2:45" ht="16.5" customHeight="1">
      <c r="B88" s="20"/>
      <c r="C88" s="48"/>
      <c r="D88" s="48"/>
      <c r="E88" s="48"/>
      <c r="F88" s="48"/>
      <c r="G88" s="24"/>
      <c r="I88" s="31"/>
      <c r="J88" s="120"/>
      <c r="K88" s="120"/>
      <c r="L88" s="120"/>
      <c r="M88" s="120"/>
      <c r="N88" s="120"/>
      <c r="O88" s="120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2"/>
      <c r="AA88" s="122"/>
      <c r="AB88" s="122"/>
      <c r="AC88" s="122"/>
      <c r="AD88" s="122"/>
      <c r="AE88" s="122"/>
      <c r="AF88" s="122"/>
      <c r="AG88" s="122"/>
      <c r="AH88" s="122"/>
      <c r="AI88" s="122"/>
      <c r="AJ88" s="122"/>
      <c r="AK88" s="122"/>
      <c r="AL88" s="123"/>
      <c r="AM88" s="123"/>
      <c r="AN88" s="123"/>
      <c r="AO88" s="124"/>
      <c r="AP88" s="124"/>
      <c r="AQ88" s="33"/>
      <c r="AR88" s="33"/>
      <c r="AS88" s="34"/>
    </row>
    <row r="89" spans="2:45" ht="16.5" customHeight="1">
      <c r="B89" s="20"/>
      <c r="C89" s="48"/>
      <c r="D89" s="48"/>
      <c r="E89" s="48"/>
      <c r="F89" s="48"/>
      <c r="G89" s="24"/>
      <c r="I89" s="31"/>
      <c r="J89" s="120"/>
      <c r="K89" s="120"/>
      <c r="L89" s="120"/>
      <c r="M89" s="120"/>
      <c r="N89" s="120"/>
      <c r="O89" s="120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2"/>
      <c r="AA89" s="122"/>
      <c r="AB89" s="122"/>
      <c r="AC89" s="122"/>
      <c r="AD89" s="122"/>
      <c r="AE89" s="122"/>
      <c r="AF89" s="122"/>
      <c r="AG89" s="122"/>
      <c r="AH89" s="122"/>
      <c r="AI89" s="122"/>
      <c r="AJ89" s="122"/>
      <c r="AK89" s="122"/>
      <c r="AL89" s="123"/>
      <c r="AM89" s="123"/>
      <c r="AN89" s="123"/>
      <c r="AO89" s="124"/>
      <c r="AP89" s="124"/>
      <c r="AQ89" s="33"/>
      <c r="AR89" s="33"/>
      <c r="AS89" s="34"/>
    </row>
    <row r="90" spans="2:45" ht="16.5" customHeight="1">
      <c r="B90" s="20"/>
      <c r="C90" s="48"/>
      <c r="D90" s="48"/>
      <c r="E90" s="48"/>
      <c r="F90" s="48"/>
      <c r="G90" s="24"/>
      <c r="I90" s="31"/>
      <c r="J90" s="120"/>
      <c r="K90" s="120"/>
      <c r="L90" s="120"/>
      <c r="M90" s="120"/>
      <c r="N90" s="120"/>
      <c r="O90" s="120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2"/>
      <c r="AA90" s="122"/>
      <c r="AB90" s="122"/>
      <c r="AC90" s="122"/>
      <c r="AD90" s="122"/>
      <c r="AE90" s="122"/>
      <c r="AF90" s="122"/>
      <c r="AG90" s="122"/>
      <c r="AH90" s="122"/>
      <c r="AI90" s="122"/>
      <c r="AJ90" s="122"/>
      <c r="AK90" s="122"/>
      <c r="AL90" s="123"/>
      <c r="AM90" s="123"/>
      <c r="AN90" s="123"/>
      <c r="AO90" s="124"/>
      <c r="AP90" s="124"/>
      <c r="AQ90" s="33"/>
      <c r="AR90" s="33"/>
      <c r="AS90" s="34"/>
    </row>
    <row r="91" spans="2:45" ht="16.5" customHeight="1">
      <c r="B91" s="20"/>
      <c r="C91" s="48"/>
      <c r="D91" s="48"/>
      <c r="E91" s="48"/>
      <c r="F91" s="48"/>
      <c r="G91" s="24"/>
      <c r="I91" s="31"/>
      <c r="J91" s="120"/>
      <c r="K91" s="120"/>
      <c r="L91" s="120"/>
      <c r="M91" s="120"/>
      <c r="N91" s="120"/>
      <c r="O91" s="120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2"/>
      <c r="AA91" s="122"/>
      <c r="AB91" s="122"/>
      <c r="AC91" s="122"/>
      <c r="AD91" s="122"/>
      <c r="AE91" s="122"/>
      <c r="AF91" s="122"/>
      <c r="AG91" s="122"/>
      <c r="AH91" s="122"/>
      <c r="AI91" s="122"/>
      <c r="AJ91" s="122"/>
      <c r="AK91" s="122"/>
      <c r="AL91" s="123"/>
      <c r="AM91" s="123"/>
      <c r="AN91" s="123"/>
      <c r="AO91" s="124"/>
      <c r="AP91" s="124"/>
      <c r="AQ91" s="33"/>
      <c r="AR91" s="33"/>
      <c r="AS91" s="34"/>
    </row>
    <row r="92" spans="2:45" ht="16.5" customHeight="1">
      <c r="B92" s="20"/>
      <c r="C92" s="48"/>
      <c r="D92" s="48"/>
      <c r="E92" s="48"/>
      <c r="F92" s="48"/>
      <c r="G92" s="24"/>
      <c r="I92" s="31"/>
      <c r="J92" s="120"/>
      <c r="K92" s="120"/>
      <c r="L92" s="120"/>
      <c r="M92" s="120"/>
      <c r="N92" s="120"/>
      <c r="O92" s="120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2"/>
      <c r="AA92" s="122"/>
      <c r="AB92" s="122"/>
      <c r="AC92" s="122"/>
      <c r="AD92" s="122"/>
      <c r="AE92" s="122"/>
      <c r="AF92" s="122"/>
      <c r="AG92" s="122"/>
      <c r="AH92" s="122"/>
      <c r="AI92" s="122"/>
      <c r="AJ92" s="122"/>
      <c r="AK92" s="122"/>
      <c r="AL92" s="123"/>
      <c r="AM92" s="123"/>
      <c r="AN92" s="123"/>
      <c r="AO92" s="124"/>
      <c r="AP92" s="124"/>
      <c r="AQ92" s="33"/>
      <c r="AR92" s="33"/>
      <c r="AS92" s="34"/>
    </row>
    <row r="93" spans="2:45" ht="16.5" customHeight="1">
      <c r="B93" s="20"/>
      <c r="C93" s="48"/>
      <c r="D93" s="48"/>
      <c r="E93" s="48"/>
      <c r="F93" s="48"/>
      <c r="G93" s="24"/>
      <c r="I93" s="31"/>
      <c r="J93" s="120"/>
      <c r="K93" s="120"/>
      <c r="L93" s="120"/>
      <c r="M93" s="120"/>
      <c r="N93" s="120"/>
      <c r="O93" s="120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2"/>
      <c r="AA93" s="122"/>
      <c r="AB93" s="122"/>
      <c r="AC93" s="122"/>
      <c r="AD93" s="122"/>
      <c r="AE93" s="122"/>
      <c r="AF93" s="122"/>
      <c r="AG93" s="122"/>
      <c r="AH93" s="122"/>
      <c r="AI93" s="122"/>
      <c r="AJ93" s="122"/>
      <c r="AK93" s="122"/>
      <c r="AL93" s="123"/>
      <c r="AM93" s="123"/>
      <c r="AN93" s="123"/>
      <c r="AO93" s="124"/>
      <c r="AP93" s="124"/>
      <c r="AQ93" s="33"/>
      <c r="AR93" s="33"/>
      <c r="AS93" s="34"/>
    </row>
    <row r="94" spans="2:45" ht="16.5" customHeight="1">
      <c r="B94" s="20"/>
      <c r="C94" s="48"/>
      <c r="D94" s="48"/>
      <c r="E94" s="48"/>
      <c r="F94" s="48"/>
      <c r="G94" s="24"/>
      <c r="I94" s="31"/>
      <c r="J94" s="120"/>
      <c r="K94" s="120"/>
      <c r="L94" s="120"/>
      <c r="M94" s="120"/>
      <c r="N94" s="120"/>
      <c r="O94" s="120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2"/>
      <c r="AA94" s="122"/>
      <c r="AB94" s="122"/>
      <c r="AC94" s="122"/>
      <c r="AD94" s="122"/>
      <c r="AE94" s="122"/>
      <c r="AF94" s="122"/>
      <c r="AG94" s="122"/>
      <c r="AH94" s="122"/>
      <c r="AI94" s="122"/>
      <c r="AJ94" s="122"/>
      <c r="AK94" s="122"/>
      <c r="AL94" s="123"/>
      <c r="AM94" s="123"/>
      <c r="AN94" s="123"/>
      <c r="AO94" s="124"/>
      <c r="AP94" s="124"/>
      <c r="AQ94" s="33"/>
      <c r="AR94" s="33"/>
      <c r="AS94" s="34"/>
    </row>
    <row r="95" spans="2:45" ht="16.5" customHeight="1">
      <c r="B95" s="20"/>
      <c r="C95" s="48"/>
      <c r="D95" s="48"/>
      <c r="E95" s="48"/>
      <c r="F95" s="48"/>
      <c r="G95" s="24"/>
      <c r="I95" s="31"/>
      <c r="J95" s="120"/>
      <c r="K95" s="120"/>
      <c r="L95" s="120"/>
      <c r="M95" s="120"/>
      <c r="N95" s="120"/>
      <c r="O95" s="120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2"/>
      <c r="AA95" s="122"/>
      <c r="AB95" s="122"/>
      <c r="AC95" s="122"/>
      <c r="AD95" s="122"/>
      <c r="AE95" s="122"/>
      <c r="AF95" s="122"/>
      <c r="AG95" s="122"/>
      <c r="AH95" s="122"/>
      <c r="AI95" s="122"/>
      <c r="AJ95" s="122"/>
      <c r="AK95" s="122"/>
      <c r="AL95" s="123"/>
      <c r="AM95" s="123"/>
      <c r="AN95" s="123"/>
      <c r="AO95" s="124"/>
      <c r="AP95" s="124"/>
      <c r="AQ95" s="33"/>
      <c r="AR95" s="33"/>
      <c r="AS95" s="34"/>
    </row>
    <row r="96" spans="2:45" ht="16.5" customHeight="1">
      <c r="B96" s="20"/>
      <c r="C96" s="48"/>
      <c r="D96" s="48"/>
      <c r="E96" s="48"/>
      <c r="F96" s="48"/>
      <c r="G96" s="24"/>
      <c r="I96" s="31"/>
      <c r="J96" s="120"/>
      <c r="K96" s="120"/>
      <c r="L96" s="120"/>
      <c r="M96" s="120"/>
      <c r="N96" s="120"/>
      <c r="O96" s="120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2"/>
      <c r="AA96" s="122"/>
      <c r="AB96" s="122"/>
      <c r="AC96" s="122"/>
      <c r="AD96" s="122"/>
      <c r="AE96" s="122"/>
      <c r="AF96" s="122"/>
      <c r="AG96" s="122"/>
      <c r="AH96" s="122"/>
      <c r="AI96" s="122"/>
      <c r="AJ96" s="122"/>
      <c r="AK96" s="122"/>
      <c r="AL96" s="123"/>
      <c r="AM96" s="123"/>
      <c r="AN96" s="123"/>
      <c r="AO96" s="124"/>
      <c r="AP96" s="124"/>
      <c r="AQ96" s="33"/>
      <c r="AR96" s="33"/>
      <c r="AS96" s="34"/>
    </row>
    <row r="97" spans="2:45" ht="16.5" customHeight="1">
      <c r="B97" s="20"/>
      <c r="C97" s="48"/>
      <c r="D97" s="48"/>
      <c r="E97" s="48"/>
      <c r="F97" s="48"/>
      <c r="G97" s="24"/>
      <c r="I97" s="31"/>
      <c r="J97" s="120"/>
      <c r="K97" s="120"/>
      <c r="L97" s="120"/>
      <c r="M97" s="120"/>
      <c r="N97" s="120"/>
      <c r="O97" s="120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2"/>
      <c r="AA97" s="122"/>
      <c r="AB97" s="122"/>
      <c r="AC97" s="122"/>
      <c r="AD97" s="122"/>
      <c r="AE97" s="122"/>
      <c r="AF97" s="122"/>
      <c r="AG97" s="122"/>
      <c r="AH97" s="122"/>
      <c r="AI97" s="122"/>
      <c r="AJ97" s="122"/>
      <c r="AK97" s="122"/>
      <c r="AL97" s="123"/>
      <c r="AM97" s="123"/>
      <c r="AN97" s="123"/>
      <c r="AO97" s="124"/>
      <c r="AP97" s="124"/>
      <c r="AQ97" s="33"/>
      <c r="AR97" s="33"/>
      <c r="AS97" s="34"/>
    </row>
    <row r="98" spans="2:45" ht="16.5" customHeight="1">
      <c r="B98" s="20"/>
      <c r="C98" s="48"/>
      <c r="D98" s="48"/>
      <c r="E98" s="48"/>
      <c r="F98" s="48"/>
      <c r="G98" s="24"/>
      <c r="I98" s="31"/>
      <c r="J98" s="120"/>
      <c r="K98" s="120"/>
      <c r="L98" s="120"/>
      <c r="M98" s="120"/>
      <c r="N98" s="120"/>
      <c r="O98" s="120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2"/>
      <c r="AA98" s="122"/>
      <c r="AB98" s="122"/>
      <c r="AC98" s="122"/>
      <c r="AD98" s="122"/>
      <c r="AE98" s="122"/>
      <c r="AF98" s="122"/>
      <c r="AG98" s="122"/>
      <c r="AH98" s="122"/>
      <c r="AI98" s="122"/>
      <c r="AJ98" s="122"/>
      <c r="AK98" s="122"/>
      <c r="AL98" s="123"/>
      <c r="AM98" s="123"/>
      <c r="AN98" s="123"/>
      <c r="AO98" s="124"/>
      <c r="AP98" s="124"/>
      <c r="AQ98" s="33"/>
      <c r="AR98" s="33"/>
      <c r="AS98" s="34"/>
    </row>
    <row r="99" spans="2:45" ht="16.5" customHeight="1">
      <c r="B99" s="20"/>
      <c r="C99" s="48"/>
      <c r="D99" s="48"/>
      <c r="E99" s="48"/>
      <c r="F99" s="48"/>
      <c r="G99" s="24"/>
      <c r="I99" s="31"/>
      <c r="J99" s="120"/>
      <c r="K99" s="120"/>
      <c r="L99" s="120"/>
      <c r="M99" s="120"/>
      <c r="N99" s="120"/>
      <c r="O99" s="120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2"/>
      <c r="AA99" s="122"/>
      <c r="AB99" s="122"/>
      <c r="AC99" s="122"/>
      <c r="AD99" s="122"/>
      <c r="AE99" s="122"/>
      <c r="AF99" s="122"/>
      <c r="AG99" s="122"/>
      <c r="AH99" s="122"/>
      <c r="AI99" s="122"/>
      <c r="AJ99" s="122"/>
      <c r="AK99" s="122"/>
      <c r="AL99" s="123"/>
      <c r="AM99" s="123"/>
      <c r="AN99" s="123"/>
      <c r="AO99" s="124"/>
      <c r="AP99" s="124"/>
      <c r="AQ99" s="33"/>
      <c r="AR99" s="33"/>
      <c r="AS99" s="34"/>
    </row>
    <row r="100" spans="2:45" ht="16.5" customHeight="1">
      <c r="B100" s="20"/>
      <c r="C100" s="48"/>
      <c r="D100" s="48"/>
      <c r="E100" s="48"/>
      <c r="F100" s="48"/>
      <c r="G100" s="24"/>
      <c r="I100" s="31"/>
      <c r="J100" s="120"/>
      <c r="K100" s="120"/>
      <c r="L100" s="120"/>
      <c r="M100" s="120"/>
      <c r="N100" s="120"/>
      <c r="O100" s="120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2"/>
      <c r="AA100" s="122"/>
      <c r="AB100" s="122"/>
      <c r="AC100" s="122"/>
      <c r="AD100" s="122"/>
      <c r="AE100" s="122"/>
      <c r="AF100" s="122"/>
      <c r="AG100" s="122"/>
      <c r="AH100" s="122"/>
      <c r="AI100" s="122"/>
      <c r="AJ100" s="122"/>
      <c r="AK100" s="122"/>
      <c r="AL100" s="123"/>
      <c r="AM100" s="123"/>
      <c r="AN100" s="123"/>
      <c r="AO100" s="124"/>
      <c r="AP100" s="124"/>
      <c r="AQ100" s="33"/>
      <c r="AR100" s="33"/>
      <c r="AS100" s="34"/>
    </row>
    <row r="101" spans="2:45" ht="16.5" customHeight="1">
      <c r="B101" s="20"/>
      <c r="C101" s="48"/>
      <c r="D101" s="48"/>
      <c r="E101" s="48"/>
      <c r="F101" s="48"/>
      <c r="G101" s="24"/>
      <c r="I101" s="31"/>
      <c r="J101" s="120"/>
      <c r="K101" s="120"/>
      <c r="L101" s="120"/>
      <c r="M101" s="120"/>
      <c r="N101" s="120"/>
      <c r="O101" s="120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2"/>
      <c r="AA101" s="122"/>
      <c r="AB101" s="122"/>
      <c r="AC101" s="122"/>
      <c r="AD101" s="122"/>
      <c r="AE101" s="122"/>
      <c r="AF101" s="122"/>
      <c r="AG101" s="122"/>
      <c r="AH101" s="122"/>
      <c r="AI101" s="122"/>
      <c r="AJ101" s="122"/>
      <c r="AK101" s="122"/>
      <c r="AL101" s="123"/>
      <c r="AM101" s="123"/>
      <c r="AN101" s="123"/>
      <c r="AO101" s="124"/>
      <c r="AP101" s="124"/>
      <c r="AQ101" s="33"/>
      <c r="AR101" s="33"/>
      <c r="AS101" s="34"/>
    </row>
    <row r="102" spans="2:45" ht="16.5" customHeight="1">
      <c r="B102" s="20"/>
      <c r="C102" s="48"/>
      <c r="D102" s="48"/>
      <c r="E102" s="48"/>
      <c r="F102" s="48"/>
      <c r="G102" s="24"/>
      <c r="I102" s="31"/>
      <c r="J102" s="120"/>
      <c r="K102" s="120"/>
      <c r="L102" s="120"/>
      <c r="M102" s="120"/>
      <c r="N102" s="120"/>
      <c r="O102" s="120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2"/>
      <c r="AA102" s="122"/>
      <c r="AB102" s="122"/>
      <c r="AC102" s="122"/>
      <c r="AD102" s="122"/>
      <c r="AE102" s="122"/>
      <c r="AF102" s="122"/>
      <c r="AG102" s="122"/>
      <c r="AH102" s="122"/>
      <c r="AI102" s="122"/>
      <c r="AJ102" s="122"/>
      <c r="AK102" s="122"/>
      <c r="AL102" s="123"/>
      <c r="AM102" s="123"/>
      <c r="AN102" s="123"/>
      <c r="AO102" s="124"/>
      <c r="AP102" s="124"/>
      <c r="AQ102" s="33"/>
      <c r="AR102" s="33"/>
      <c r="AS102" s="34"/>
    </row>
    <row r="103" spans="2:45" ht="16.5" customHeight="1">
      <c r="B103" s="20"/>
      <c r="C103" s="48"/>
      <c r="D103" s="48"/>
      <c r="E103" s="48"/>
      <c r="F103" s="48"/>
      <c r="G103" s="24"/>
      <c r="I103" s="31"/>
      <c r="J103" s="120"/>
      <c r="K103" s="120"/>
      <c r="L103" s="120"/>
      <c r="M103" s="120"/>
      <c r="N103" s="120"/>
      <c r="O103" s="120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2"/>
      <c r="AA103" s="122"/>
      <c r="AB103" s="122"/>
      <c r="AC103" s="122"/>
      <c r="AD103" s="122"/>
      <c r="AE103" s="122"/>
      <c r="AF103" s="122"/>
      <c r="AG103" s="122"/>
      <c r="AH103" s="122"/>
      <c r="AI103" s="122"/>
      <c r="AJ103" s="122"/>
      <c r="AK103" s="122"/>
      <c r="AL103" s="123"/>
      <c r="AM103" s="123"/>
      <c r="AN103" s="123"/>
      <c r="AO103" s="124"/>
      <c r="AP103" s="124"/>
      <c r="AQ103" s="33"/>
      <c r="AR103" s="33"/>
      <c r="AS103" s="34"/>
    </row>
    <row r="104" spans="2:45" ht="16.5" customHeight="1">
      <c r="B104" s="20"/>
      <c r="C104" s="48"/>
      <c r="D104" s="48"/>
      <c r="E104" s="48"/>
      <c r="F104" s="48"/>
      <c r="G104" s="24"/>
      <c r="I104" s="31"/>
      <c r="J104" s="120"/>
      <c r="K104" s="120"/>
      <c r="L104" s="120"/>
      <c r="M104" s="120"/>
      <c r="N104" s="120"/>
      <c r="O104" s="120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2"/>
      <c r="AA104" s="122"/>
      <c r="AB104" s="122"/>
      <c r="AC104" s="122"/>
      <c r="AD104" s="122"/>
      <c r="AE104" s="122"/>
      <c r="AF104" s="122"/>
      <c r="AG104" s="122"/>
      <c r="AH104" s="122"/>
      <c r="AI104" s="122"/>
      <c r="AJ104" s="122"/>
      <c r="AK104" s="122"/>
      <c r="AL104" s="123"/>
      <c r="AM104" s="123"/>
      <c r="AN104" s="123"/>
      <c r="AO104" s="124"/>
      <c r="AP104" s="124"/>
      <c r="AQ104" s="33"/>
      <c r="AR104" s="33"/>
      <c r="AS104" s="34"/>
    </row>
    <row r="105" spans="2:45" ht="16.5" customHeight="1">
      <c r="B105" s="20"/>
      <c r="C105" s="48"/>
      <c r="D105" s="48"/>
      <c r="E105" s="48"/>
      <c r="F105" s="48"/>
      <c r="G105" s="24"/>
      <c r="I105" s="31"/>
      <c r="J105" s="120"/>
      <c r="K105" s="120"/>
      <c r="L105" s="120"/>
      <c r="M105" s="120"/>
      <c r="N105" s="120"/>
      <c r="O105" s="120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2"/>
      <c r="AA105" s="122"/>
      <c r="AB105" s="122"/>
      <c r="AC105" s="122"/>
      <c r="AD105" s="122"/>
      <c r="AE105" s="122"/>
      <c r="AF105" s="122"/>
      <c r="AG105" s="122"/>
      <c r="AH105" s="122"/>
      <c r="AI105" s="122"/>
      <c r="AJ105" s="122"/>
      <c r="AK105" s="122"/>
      <c r="AL105" s="123"/>
      <c r="AM105" s="123"/>
      <c r="AN105" s="123"/>
      <c r="AO105" s="124"/>
      <c r="AP105" s="124"/>
      <c r="AQ105" s="33"/>
      <c r="AR105" s="33"/>
      <c r="AS105" s="34"/>
    </row>
    <row r="106" spans="2:45" ht="16.5" customHeight="1">
      <c r="B106" s="20"/>
      <c r="C106" s="48"/>
      <c r="D106" s="48"/>
      <c r="E106" s="48"/>
      <c r="F106" s="48"/>
      <c r="G106" s="24"/>
      <c r="I106" s="31"/>
      <c r="J106" s="120"/>
      <c r="K106" s="120"/>
      <c r="L106" s="120"/>
      <c r="M106" s="120"/>
      <c r="N106" s="120"/>
      <c r="O106" s="120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2"/>
      <c r="AA106" s="122"/>
      <c r="AB106" s="122"/>
      <c r="AC106" s="122"/>
      <c r="AD106" s="122"/>
      <c r="AE106" s="122"/>
      <c r="AF106" s="122"/>
      <c r="AG106" s="122"/>
      <c r="AH106" s="122"/>
      <c r="AI106" s="122"/>
      <c r="AJ106" s="122"/>
      <c r="AK106" s="122"/>
      <c r="AL106" s="123"/>
      <c r="AM106" s="123"/>
      <c r="AN106" s="123"/>
      <c r="AO106" s="124"/>
      <c r="AP106" s="124"/>
      <c r="AQ106" s="33"/>
      <c r="AR106" s="33"/>
      <c r="AS106" s="34"/>
    </row>
    <row r="107" spans="2:45" ht="16.5" customHeight="1">
      <c r="B107" s="20"/>
      <c r="C107" s="48"/>
      <c r="D107" s="48"/>
      <c r="E107" s="48"/>
      <c r="F107" s="48"/>
      <c r="G107" s="24"/>
      <c r="I107" s="31"/>
      <c r="J107" s="120"/>
      <c r="K107" s="120"/>
      <c r="L107" s="120"/>
      <c r="M107" s="120"/>
      <c r="N107" s="120"/>
      <c r="O107" s="120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2"/>
      <c r="AA107" s="122"/>
      <c r="AB107" s="122"/>
      <c r="AC107" s="122"/>
      <c r="AD107" s="122"/>
      <c r="AE107" s="122"/>
      <c r="AF107" s="122"/>
      <c r="AG107" s="122"/>
      <c r="AH107" s="122"/>
      <c r="AI107" s="122"/>
      <c r="AJ107" s="122"/>
      <c r="AK107" s="122"/>
      <c r="AL107" s="123"/>
      <c r="AM107" s="123"/>
      <c r="AN107" s="123"/>
      <c r="AO107" s="124"/>
      <c r="AP107" s="124"/>
      <c r="AQ107" s="33"/>
      <c r="AR107" s="33"/>
      <c r="AS107" s="34"/>
    </row>
    <row r="108" spans="2:45" ht="16.5" customHeight="1">
      <c r="B108" s="20"/>
      <c r="C108" s="48"/>
      <c r="D108" s="48"/>
      <c r="E108" s="48"/>
      <c r="F108" s="48"/>
      <c r="G108" s="24"/>
      <c r="I108" s="31"/>
      <c r="J108" s="120"/>
      <c r="K108" s="120"/>
      <c r="L108" s="120"/>
      <c r="M108" s="120"/>
      <c r="N108" s="120"/>
      <c r="O108" s="120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2"/>
      <c r="AA108" s="122"/>
      <c r="AB108" s="122"/>
      <c r="AC108" s="122"/>
      <c r="AD108" s="122"/>
      <c r="AE108" s="122"/>
      <c r="AF108" s="122"/>
      <c r="AG108" s="122"/>
      <c r="AH108" s="122"/>
      <c r="AI108" s="122"/>
      <c r="AJ108" s="122"/>
      <c r="AK108" s="122"/>
      <c r="AL108" s="123"/>
      <c r="AM108" s="123"/>
      <c r="AN108" s="123"/>
      <c r="AO108" s="124"/>
      <c r="AP108" s="124"/>
      <c r="AQ108" s="33"/>
      <c r="AR108" s="33"/>
      <c r="AS108" s="34"/>
    </row>
    <row r="109" spans="2:45" ht="16.5" customHeight="1">
      <c r="B109" s="20"/>
      <c r="C109" s="48"/>
      <c r="D109" s="48"/>
      <c r="E109" s="48"/>
      <c r="F109" s="48"/>
      <c r="G109" s="24"/>
      <c r="I109" s="31"/>
      <c r="J109" s="120"/>
      <c r="K109" s="120"/>
      <c r="L109" s="120"/>
      <c r="M109" s="120"/>
      <c r="N109" s="120"/>
      <c r="O109" s="120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2"/>
      <c r="AA109" s="122"/>
      <c r="AB109" s="122"/>
      <c r="AC109" s="122"/>
      <c r="AD109" s="122"/>
      <c r="AE109" s="122"/>
      <c r="AF109" s="122"/>
      <c r="AG109" s="122"/>
      <c r="AH109" s="122"/>
      <c r="AI109" s="122"/>
      <c r="AJ109" s="122"/>
      <c r="AK109" s="122"/>
      <c r="AL109" s="123"/>
      <c r="AM109" s="123"/>
      <c r="AN109" s="123"/>
      <c r="AO109" s="124"/>
      <c r="AP109" s="124"/>
      <c r="AQ109" s="33"/>
      <c r="AR109" s="33"/>
      <c r="AS109" s="34"/>
    </row>
    <row r="110" spans="2:45" ht="16.5" customHeight="1">
      <c r="B110" s="20"/>
      <c r="C110" s="48"/>
      <c r="D110" s="48"/>
      <c r="E110" s="48"/>
      <c r="F110" s="48"/>
      <c r="G110" s="24"/>
      <c r="I110" s="31"/>
      <c r="J110" s="120"/>
      <c r="K110" s="120"/>
      <c r="L110" s="120"/>
      <c r="M110" s="120"/>
      <c r="N110" s="120"/>
      <c r="O110" s="120"/>
      <c r="P110" s="121"/>
      <c r="Q110" s="121"/>
      <c r="R110" s="121"/>
      <c r="S110" s="121"/>
      <c r="T110" s="121"/>
      <c r="U110" s="121"/>
      <c r="V110" s="121"/>
      <c r="W110" s="121"/>
      <c r="X110" s="121"/>
      <c r="Y110" s="121"/>
      <c r="Z110" s="122"/>
      <c r="AA110" s="122"/>
      <c r="AB110" s="122"/>
      <c r="AC110" s="122"/>
      <c r="AD110" s="122"/>
      <c r="AE110" s="122"/>
      <c r="AF110" s="122"/>
      <c r="AG110" s="122"/>
      <c r="AH110" s="122"/>
      <c r="AI110" s="122"/>
      <c r="AJ110" s="122"/>
      <c r="AK110" s="122"/>
      <c r="AL110" s="123"/>
      <c r="AM110" s="123"/>
      <c r="AN110" s="123"/>
      <c r="AO110" s="124"/>
      <c r="AP110" s="124"/>
      <c r="AQ110" s="33"/>
      <c r="AR110" s="33"/>
      <c r="AS110" s="34"/>
    </row>
    <row r="111" spans="2:45" ht="16.5" customHeight="1">
      <c r="B111" s="20"/>
      <c r="C111" s="48"/>
      <c r="D111" s="48"/>
      <c r="E111" s="48"/>
      <c r="F111" s="48"/>
      <c r="G111" s="24"/>
      <c r="I111" s="31"/>
      <c r="J111" s="120"/>
      <c r="K111" s="120"/>
      <c r="L111" s="120"/>
      <c r="M111" s="120"/>
      <c r="N111" s="120"/>
      <c r="O111" s="120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2"/>
      <c r="AA111" s="122"/>
      <c r="AB111" s="122"/>
      <c r="AC111" s="122"/>
      <c r="AD111" s="122"/>
      <c r="AE111" s="122"/>
      <c r="AF111" s="122"/>
      <c r="AG111" s="122"/>
      <c r="AH111" s="122"/>
      <c r="AI111" s="122"/>
      <c r="AJ111" s="122"/>
      <c r="AK111" s="122"/>
      <c r="AL111" s="123"/>
      <c r="AM111" s="123"/>
      <c r="AN111" s="123"/>
      <c r="AO111" s="124"/>
      <c r="AP111" s="124"/>
      <c r="AQ111" s="33"/>
      <c r="AR111" s="33"/>
      <c r="AS111" s="34"/>
    </row>
    <row r="112" spans="2:45" ht="16.5" customHeight="1">
      <c r="B112" s="20"/>
      <c r="C112" s="48"/>
      <c r="D112" s="48"/>
      <c r="E112" s="48"/>
      <c r="F112" s="48"/>
      <c r="G112" s="24"/>
      <c r="I112" s="31"/>
      <c r="J112" s="120"/>
      <c r="K112" s="120"/>
      <c r="L112" s="120"/>
      <c r="M112" s="120"/>
      <c r="N112" s="120"/>
      <c r="O112" s="120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2"/>
      <c r="AA112" s="122"/>
      <c r="AB112" s="122"/>
      <c r="AC112" s="122"/>
      <c r="AD112" s="122"/>
      <c r="AE112" s="122"/>
      <c r="AF112" s="122"/>
      <c r="AG112" s="122"/>
      <c r="AH112" s="122"/>
      <c r="AI112" s="122"/>
      <c r="AJ112" s="122"/>
      <c r="AK112" s="122"/>
      <c r="AL112" s="123"/>
      <c r="AM112" s="123"/>
      <c r="AN112" s="123"/>
      <c r="AO112" s="124"/>
      <c r="AP112" s="124"/>
      <c r="AQ112" s="33"/>
      <c r="AR112" s="33"/>
      <c r="AS112" s="34"/>
    </row>
    <row r="113" spans="2:45" ht="16.5" customHeight="1">
      <c r="B113" s="20"/>
      <c r="C113" s="48"/>
      <c r="D113" s="48"/>
      <c r="E113" s="48"/>
      <c r="F113" s="48"/>
      <c r="G113" s="24"/>
      <c r="I113" s="31"/>
      <c r="J113" s="120"/>
      <c r="K113" s="120"/>
      <c r="L113" s="120"/>
      <c r="M113" s="120"/>
      <c r="N113" s="120"/>
      <c r="O113" s="120"/>
      <c r="P113" s="121"/>
      <c r="Q113" s="121"/>
      <c r="R113" s="121"/>
      <c r="S113" s="121"/>
      <c r="T113" s="121"/>
      <c r="U113" s="121"/>
      <c r="V113" s="121"/>
      <c r="W113" s="121"/>
      <c r="X113" s="121"/>
      <c r="Y113" s="121"/>
      <c r="Z113" s="122"/>
      <c r="AA113" s="122"/>
      <c r="AB113" s="122"/>
      <c r="AC113" s="122"/>
      <c r="AD113" s="122"/>
      <c r="AE113" s="122"/>
      <c r="AF113" s="122"/>
      <c r="AG113" s="122"/>
      <c r="AH113" s="122"/>
      <c r="AI113" s="122"/>
      <c r="AJ113" s="122"/>
      <c r="AK113" s="122"/>
      <c r="AL113" s="123"/>
      <c r="AM113" s="123"/>
      <c r="AN113" s="123"/>
      <c r="AO113" s="124"/>
      <c r="AP113" s="124"/>
      <c r="AQ113" s="33"/>
      <c r="AR113" s="33"/>
      <c r="AS113" s="34"/>
    </row>
    <row r="114" spans="2:45" ht="9" customHeight="1">
      <c r="B114" s="93"/>
      <c r="C114" s="94"/>
      <c r="D114" s="94"/>
      <c r="E114" s="94"/>
      <c r="F114" s="94"/>
      <c r="G114" s="95"/>
      <c r="I114" s="56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8"/>
    </row>
    <row r="115" spans="2:45" ht="9" customHeight="1"/>
  </sheetData>
  <mergeCells count="458">
    <mergeCell ref="E5:L8"/>
    <mergeCell ref="O3:AL6"/>
    <mergeCell ref="O8:AI9"/>
    <mergeCell ref="AN2:AQ5"/>
    <mergeCell ref="AK8:AO9"/>
    <mergeCell ref="AP8:AR9"/>
    <mergeCell ref="C18:F20"/>
    <mergeCell ref="C29:F32"/>
    <mergeCell ref="C35:F38"/>
    <mergeCell ref="C44:F46"/>
    <mergeCell ref="C52:F53"/>
    <mergeCell ref="C61:F62"/>
    <mergeCell ref="J14:X14"/>
    <mergeCell ref="J16:J19"/>
    <mergeCell ref="L16:Q19"/>
    <mergeCell ref="S17:U18"/>
    <mergeCell ref="W16:W19"/>
    <mergeCell ref="J22:J25"/>
    <mergeCell ref="L22:Q25"/>
    <mergeCell ref="S23:U24"/>
    <mergeCell ref="W22:W25"/>
    <mergeCell ref="J27:J30"/>
    <mergeCell ref="L27:Q30"/>
    <mergeCell ref="S28:U29"/>
    <mergeCell ref="W27:W30"/>
    <mergeCell ref="J32:X35"/>
    <mergeCell ref="AB14:AQ14"/>
    <mergeCell ref="AB16:AE19"/>
    <mergeCell ref="AF17:AP18"/>
    <mergeCell ref="AB22:AE25"/>
    <mergeCell ref="AF23:AP24"/>
    <mergeCell ref="AB27:AE30"/>
    <mergeCell ref="AF28:AP29"/>
    <mergeCell ref="J40:AG41"/>
    <mergeCell ref="J43:P44"/>
    <mergeCell ref="Q43:T44"/>
    <mergeCell ref="J46:P47"/>
    <mergeCell ref="Q46:T47"/>
    <mergeCell ref="J49:P49"/>
    <mergeCell ref="Q49:T49"/>
    <mergeCell ref="V43:AB44"/>
    <mergeCell ref="AC43:AH44"/>
    <mergeCell ref="V46:AB47"/>
    <mergeCell ref="AC46:AH47"/>
    <mergeCell ref="V49:AB49"/>
    <mergeCell ref="AC49:AH49"/>
    <mergeCell ref="J51:AP52"/>
    <mergeCell ref="J58:AG58"/>
    <mergeCell ref="J60:O61"/>
    <mergeCell ref="J62:O64"/>
    <mergeCell ref="J65:O65"/>
    <mergeCell ref="J66:O66"/>
    <mergeCell ref="J67:O67"/>
    <mergeCell ref="J68:O68"/>
    <mergeCell ref="J69:O69"/>
    <mergeCell ref="J70:O70"/>
    <mergeCell ref="J71:O71"/>
    <mergeCell ref="J72:O72"/>
    <mergeCell ref="J73:O73"/>
    <mergeCell ref="J74:O74"/>
    <mergeCell ref="J75:O75"/>
    <mergeCell ref="J76:O76"/>
    <mergeCell ref="J77:O77"/>
    <mergeCell ref="J78:O78"/>
    <mergeCell ref="J79:O79"/>
    <mergeCell ref="J80:O80"/>
    <mergeCell ref="J81:O81"/>
    <mergeCell ref="J82:O82"/>
    <mergeCell ref="J83:O83"/>
    <mergeCell ref="J84:O84"/>
    <mergeCell ref="J85:O85"/>
    <mergeCell ref="J86:O86"/>
    <mergeCell ref="J87:O87"/>
    <mergeCell ref="J88:O88"/>
    <mergeCell ref="J89:O89"/>
    <mergeCell ref="J90:O90"/>
    <mergeCell ref="J91:O91"/>
    <mergeCell ref="J92:O92"/>
    <mergeCell ref="J93:O93"/>
    <mergeCell ref="J94:O94"/>
    <mergeCell ref="J95:O95"/>
    <mergeCell ref="J96:O96"/>
    <mergeCell ref="J97:O97"/>
    <mergeCell ref="J98:O98"/>
    <mergeCell ref="J99:O99"/>
    <mergeCell ref="J100:O100"/>
    <mergeCell ref="J101:O101"/>
    <mergeCell ref="J102:O102"/>
    <mergeCell ref="J103:O103"/>
    <mergeCell ref="J104:O104"/>
    <mergeCell ref="J105:O105"/>
    <mergeCell ref="J106:O106"/>
    <mergeCell ref="J107:O107"/>
    <mergeCell ref="J108:O108"/>
    <mergeCell ref="J109:O109"/>
    <mergeCell ref="J110:O110"/>
    <mergeCell ref="J111:O111"/>
    <mergeCell ref="J112:O112"/>
    <mergeCell ref="J113:O113"/>
    <mergeCell ref="P60:S61"/>
    <mergeCell ref="P62:S64"/>
    <mergeCell ref="P65:S65"/>
    <mergeCell ref="P66:S66"/>
    <mergeCell ref="P67:S67"/>
    <mergeCell ref="P68:S68"/>
    <mergeCell ref="P69:S69"/>
    <mergeCell ref="P70:S70"/>
    <mergeCell ref="P71:S71"/>
    <mergeCell ref="P72:S72"/>
    <mergeCell ref="P73:S73"/>
    <mergeCell ref="P74:S74"/>
    <mergeCell ref="P75:S75"/>
    <mergeCell ref="P76:S76"/>
    <mergeCell ref="P77:S77"/>
    <mergeCell ref="P78:S78"/>
    <mergeCell ref="P79:S79"/>
    <mergeCell ref="P80:S80"/>
    <mergeCell ref="P81:S81"/>
    <mergeCell ref="P82:S82"/>
    <mergeCell ref="P83:S83"/>
    <mergeCell ref="P84:S84"/>
    <mergeCell ref="P85:S85"/>
    <mergeCell ref="P86:S86"/>
    <mergeCell ref="P87:S87"/>
    <mergeCell ref="P88:S88"/>
    <mergeCell ref="P89:S89"/>
    <mergeCell ref="P90:S90"/>
    <mergeCell ref="P91:S91"/>
    <mergeCell ref="P92:S92"/>
    <mergeCell ref="P93:S93"/>
    <mergeCell ref="P94:S94"/>
    <mergeCell ref="P95:S95"/>
    <mergeCell ref="P96:S96"/>
    <mergeCell ref="P97:S97"/>
    <mergeCell ref="P98:S98"/>
    <mergeCell ref="P99:S99"/>
    <mergeCell ref="P100:S100"/>
    <mergeCell ref="P101:S101"/>
    <mergeCell ref="P102:S102"/>
    <mergeCell ref="P103:S103"/>
    <mergeCell ref="P104:S104"/>
    <mergeCell ref="P105:S105"/>
    <mergeCell ref="P106:S106"/>
    <mergeCell ref="P107:S107"/>
    <mergeCell ref="P108:S108"/>
    <mergeCell ref="P109:S109"/>
    <mergeCell ref="P110:S110"/>
    <mergeCell ref="P111:S111"/>
    <mergeCell ref="P112:S112"/>
    <mergeCell ref="P113:S113"/>
    <mergeCell ref="T60:Y61"/>
    <mergeCell ref="T62:Y64"/>
    <mergeCell ref="T65:Y65"/>
    <mergeCell ref="T66:Y66"/>
    <mergeCell ref="T67:Y67"/>
    <mergeCell ref="T68:Y68"/>
    <mergeCell ref="T69:Y69"/>
    <mergeCell ref="T70:Y70"/>
    <mergeCell ref="T71:Y71"/>
    <mergeCell ref="T72:Y72"/>
    <mergeCell ref="T73:Y73"/>
    <mergeCell ref="T74:Y74"/>
    <mergeCell ref="T75:Y75"/>
    <mergeCell ref="T76:Y76"/>
    <mergeCell ref="T77:Y77"/>
    <mergeCell ref="T78:Y78"/>
    <mergeCell ref="T79:Y79"/>
    <mergeCell ref="T80:Y80"/>
    <mergeCell ref="T81:Y81"/>
    <mergeCell ref="T82:Y82"/>
    <mergeCell ref="T83:Y83"/>
    <mergeCell ref="T84:Y84"/>
    <mergeCell ref="T85:Y85"/>
    <mergeCell ref="T86:Y86"/>
    <mergeCell ref="T87:Y87"/>
    <mergeCell ref="T88:Y88"/>
    <mergeCell ref="T89:Y89"/>
    <mergeCell ref="T90:Y90"/>
    <mergeCell ref="T91:Y91"/>
    <mergeCell ref="T92:Y92"/>
    <mergeCell ref="T93:Y93"/>
    <mergeCell ref="T94:Y94"/>
    <mergeCell ref="T95:Y95"/>
    <mergeCell ref="T96:Y96"/>
    <mergeCell ref="T97:Y97"/>
    <mergeCell ref="T98:Y98"/>
    <mergeCell ref="T99:Y99"/>
    <mergeCell ref="T100:Y100"/>
    <mergeCell ref="T101:Y101"/>
    <mergeCell ref="T102:Y102"/>
    <mergeCell ref="T103:Y103"/>
    <mergeCell ref="T104:Y104"/>
    <mergeCell ref="T105:Y105"/>
    <mergeCell ref="T106:Y106"/>
    <mergeCell ref="T107:Y107"/>
    <mergeCell ref="T108:Y108"/>
    <mergeCell ref="T109:Y109"/>
    <mergeCell ref="T110:Y110"/>
    <mergeCell ref="T111:Y111"/>
    <mergeCell ref="T112:Y112"/>
    <mergeCell ref="T113:Y113"/>
    <mergeCell ref="Z60:AC61"/>
    <mergeCell ref="Z62:AC64"/>
    <mergeCell ref="Z65:AC65"/>
    <mergeCell ref="Z66:AC66"/>
    <mergeCell ref="Z67:AC67"/>
    <mergeCell ref="Z68:AC68"/>
    <mergeCell ref="Z69:AC69"/>
    <mergeCell ref="Z70:AC70"/>
    <mergeCell ref="Z71:AC71"/>
    <mergeCell ref="Z72:AC72"/>
    <mergeCell ref="Z73:AC73"/>
    <mergeCell ref="Z74:AC74"/>
    <mergeCell ref="Z75:AC75"/>
    <mergeCell ref="Z76:AC76"/>
    <mergeCell ref="Z77:AC77"/>
    <mergeCell ref="Z78:AC78"/>
    <mergeCell ref="Z79:AC79"/>
    <mergeCell ref="Z80:AC80"/>
    <mergeCell ref="Z81:AC81"/>
    <mergeCell ref="Z82:AC82"/>
    <mergeCell ref="Z83:AC83"/>
    <mergeCell ref="Z84:AC84"/>
    <mergeCell ref="Z85:AC85"/>
    <mergeCell ref="Z86:AC86"/>
    <mergeCell ref="Z87:AC87"/>
    <mergeCell ref="Z88:AC88"/>
    <mergeCell ref="Z89:AC89"/>
    <mergeCell ref="Z90:AC90"/>
    <mergeCell ref="Z91:AC91"/>
    <mergeCell ref="Z92:AC92"/>
    <mergeCell ref="Z93:AC93"/>
    <mergeCell ref="Z94:AC94"/>
    <mergeCell ref="Z95:AC95"/>
    <mergeCell ref="Z96:AC96"/>
    <mergeCell ref="Z97:AC97"/>
    <mergeCell ref="Z98:AC98"/>
    <mergeCell ref="Z99:AC99"/>
    <mergeCell ref="Z100:AC100"/>
    <mergeCell ref="Z101:AC101"/>
    <mergeCell ref="Z102:AC102"/>
    <mergeCell ref="Z103:AC103"/>
    <mergeCell ref="Z104:AC104"/>
    <mergeCell ref="Z105:AC105"/>
    <mergeCell ref="Z106:AC106"/>
    <mergeCell ref="Z107:AC107"/>
    <mergeCell ref="Z108:AC108"/>
    <mergeCell ref="Z109:AC109"/>
    <mergeCell ref="Z110:AC110"/>
    <mergeCell ref="Z111:AC111"/>
    <mergeCell ref="Z112:AC112"/>
    <mergeCell ref="Z113:AC113"/>
    <mergeCell ref="AD60:AD61"/>
    <mergeCell ref="AD62:AD64"/>
    <mergeCell ref="AE60:AF61"/>
    <mergeCell ref="AE62:AF64"/>
    <mergeCell ref="AE65:AF65"/>
    <mergeCell ref="AE66:AF66"/>
    <mergeCell ref="AE67:AF67"/>
    <mergeCell ref="AE68:AF68"/>
    <mergeCell ref="AE69:AF69"/>
    <mergeCell ref="AE70:AF70"/>
    <mergeCell ref="AE71:AF71"/>
    <mergeCell ref="AE72:AF72"/>
    <mergeCell ref="AE73:AF73"/>
    <mergeCell ref="AE74:AF74"/>
    <mergeCell ref="AE75:AF75"/>
    <mergeCell ref="AE76:AF76"/>
    <mergeCell ref="AE77:AF77"/>
    <mergeCell ref="AE78:AF78"/>
    <mergeCell ref="AE79:AF79"/>
    <mergeCell ref="AE80:AF80"/>
    <mergeCell ref="AE81:AF81"/>
    <mergeCell ref="AE82:AF82"/>
    <mergeCell ref="AE83:AF83"/>
    <mergeCell ref="AE84:AF84"/>
    <mergeCell ref="AE85:AF85"/>
    <mergeCell ref="AE86:AF86"/>
    <mergeCell ref="AE87:AF87"/>
    <mergeCell ref="AE88:AF88"/>
    <mergeCell ref="AE89:AF89"/>
    <mergeCell ref="AE90:AF90"/>
    <mergeCell ref="AE91:AF91"/>
    <mergeCell ref="AE92:AF92"/>
    <mergeCell ref="AE93:AF93"/>
    <mergeCell ref="AE94:AF94"/>
    <mergeCell ref="AE95:AF95"/>
    <mergeCell ref="AE96:AF96"/>
    <mergeCell ref="AE97:AF97"/>
    <mergeCell ref="AE98:AF98"/>
    <mergeCell ref="AE99:AF99"/>
    <mergeCell ref="AE100:AF100"/>
    <mergeCell ref="AE101:AF101"/>
    <mergeCell ref="AE102:AF102"/>
    <mergeCell ref="AE103:AF103"/>
    <mergeCell ref="AE104:AF104"/>
    <mergeCell ref="AE105:AF105"/>
    <mergeCell ref="AE106:AF106"/>
    <mergeCell ref="AE107:AF107"/>
    <mergeCell ref="AE108:AF108"/>
    <mergeCell ref="AE109:AF109"/>
    <mergeCell ref="AE110:AF110"/>
    <mergeCell ref="AE111:AF111"/>
    <mergeCell ref="AE112:AF112"/>
    <mergeCell ref="AE113:AF113"/>
    <mergeCell ref="AG60:AK61"/>
    <mergeCell ref="AG62:AK64"/>
    <mergeCell ref="AG65:AK65"/>
    <mergeCell ref="AG66:AK66"/>
    <mergeCell ref="AG67:AK67"/>
    <mergeCell ref="AG68:AK68"/>
    <mergeCell ref="AG69:AK69"/>
    <mergeCell ref="AG70:AK70"/>
    <mergeCell ref="AG71:AK71"/>
    <mergeCell ref="AG72:AK72"/>
    <mergeCell ref="AG73:AK73"/>
    <mergeCell ref="AG74:AK74"/>
    <mergeCell ref="AG75:AK75"/>
    <mergeCell ref="AG76:AK76"/>
    <mergeCell ref="AG77:AK77"/>
    <mergeCell ref="AG78:AK78"/>
    <mergeCell ref="AG79:AK79"/>
    <mergeCell ref="AG80:AK80"/>
    <mergeCell ref="AG81:AK81"/>
    <mergeCell ref="AG82:AK82"/>
    <mergeCell ref="AG83:AK83"/>
    <mergeCell ref="AG84:AK84"/>
    <mergeCell ref="AG85:AK85"/>
    <mergeCell ref="AG86:AK86"/>
    <mergeCell ref="AG87:AK87"/>
    <mergeCell ref="AG88:AK88"/>
    <mergeCell ref="AG89:AK89"/>
    <mergeCell ref="AG90:AK90"/>
    <mergeCell ref="AG91:AK91"/>
    <mergeCell ref="AG92:AK92"/>
    <mergeCell ref="AG93:AK93"/>
    <mergeCell ref="AG94:AK94"/>
    <mergeCell ref="AG95:AK95"/>
    <mergeCell ref="AG96:AK96"/>
    <mergeCell ref="AG97:AK97"/>
    <mergeCell ref="AG98:AK98"/>
    <mergeCell ref="AG99:AK99"/>
    <mergeCell ref="AG100:AK100"/>
    <mergeCell ref="AG101:AK101"/>
    <mergeCell ref="AG102:AK102"/>
    <mergeCell ref="AG103:AK103"/>
    <mergeCell ref="AG104:AK104"/>
    <mergeCell ref="AG105:AK105"/>
    <mergeCell ref="AG106:AK106"/>
    <mergeCell ref="AG107:AK107"/>
    <mergeCell ref="AG108:AK108"/>
    <mergeCell ref="AG109:AK109"/>
    <mergeCell ref="AG110:AK110"/>
    <mergeCell ref="AG111:AK111"/>
    <mergeCell ref="AG112:AK112"/>
    <mergeCell ref="AG113:AK113"/>
    <mergeCell ref="AL60:AN61"/>
    <mergeCell ref="AL62:AN64"/>
    <mergeCell ref="AL65:AN65"/>
    <mergeCell ref="AL66:AN66"/>
    <mergeCell ref="AL67:AN67"/>
    <mergeCell ref="AL68:AN68"/>
    <mergeCell ref="AL69:AN69"/>
    <mergeCell ref="AL70:AN70"/>
    <mergeCell ref="AL71:AN71"/>
    <mergeCell ref="AL72:AN72"/>
    <mergeCell ref="AL73:AN73"/>
    <mergeCell ref="AL74:AN74"/>
    <mergeCell ref="AL75:AN75"/>
    <mergeCell ref="AL76:AN76"/>
    <mergeCell ref="AL77:AN77"/>
    <mergeCell ref="AL78:AN78"/>
    <mergeCell ref="AL79:AN79"/>
    <mergeCell ref="AL80:AN80"/>
    <mergeCell ref="AL81:AN81"/>
    <mergeCell ref="AL82:AN82"/>
    <mergeCell ref="AL83:AN83"/>
    <mergeCell ref="AL84:AN84"/>
    <mergeCell ref="AL85:AN85"/>
    <mergeCell ref="AL86:AN86"/>
    <mergeCell ref="AL87:AN87"/>
    <mergeCell ref="AL88:AN88"/>
    <mergeCell ref="AL89:AN89"/>
    <mergeCell ref="AL90:AN90"/>
    <mergeCell ref="AL91:AN91"/>
    <mergeCell ref="AL92:AN92"/>
    <mergeCell ref="AL93:AN93"/>
    <mergeCell ref="AL94:AN94"/>
    <mergeCell ref="AL95:AN95"/>
    <mergeCell ref="AL96:AN96"/>
    <mergeCell ref="AL97:AN97"/>
    <mergeCell ref="AL98:AN98"/>
    <mergeCell ref="AL99:AN99"/>
    <mergeCell ref="AL100:AN100"/>
    <mergeCell ref="AL101:AN101"/>
    <mergeCell ref="AL102:AN102"/>
    <mergeCell ref="AL103:AN103"/>
    <mergeCell ref="AL104:AN104"/>
    <mergeCell ref="AL105:AN105"/>
    <mergeCell ref="AL106:AN106"/>
    <mergeCell ref="AL107:AN107"/>
    <mergeCell ref="AL108:AN108"/>
    <mergeCell ref="AL109:AN109"/>
    <mergeCell ref="AL110:AN110"/>
    <mergeCell ref="AL111:AN111"/>
    <mergeCell ref="AL112:AN112"/>
    <mergeCell ref="AL113:AN113"/>
    <mergeCell ref="AO60:AP61"/>
    <mergeCell ref="AO62:AP64"/>
    <mergeCell ref="AO65:AP65"/>
    <mergeCell ref="AO66:AP66"/>
    <mergeCell ref="AO67:AP67"/>
    <mergeCell ref="AO68:AP68"/>
    <mergeCell ref="AO69:AP69"/>
    <mergeCell ref="AO70:AP70"/>
    <mergeCell ref="AO71:AP71"/>
    <mergeCell ref="AO72:AP72"/>
    <mergeCell ref="AO73:AP73"/>
    <mergeCell ref="AO74:AP74"/>
    <mergeCell ref="AO75:AP75"/>
    <mergeCell ref="AO76:AP76"/>
    <mergeCell ref="AO77:AP77"/>
    <mergeCell ref="AO78:AP78"/>
    <mergeCell ref="AO79:AP79"/>
    <mergeCell ref="AO80:AP80"/>
    <mergeCell ref="AO81:AP81"/>
    <mergeCell ref="AO82:AP82"/>
    <mergeCell ref="AO83:AP83"/>
    <mergeCell ref="AO84:AP84"/>
    <mergeCell ref="AO85:AP85"/>
    <mergeCell ref="AO86:AP86"/>
    <mergeCell ref="AO87:AP87"/>
    <mergeCell ref="AO88:AP88"/>
    <mergeCell ref="AO89:AP89"/>
    <mergeCell ref="AO90:AP90"/>
    <mergeCell ref="AO91:AP91"/>
    <mergeCell ref="AO92:AP92"/>
    <mergeCell ref="AO93:AP93"/>
    <mergeCell ref="AO94:AP94"/>
    <mergeCell ref="AO95:AP95"/>
    <mergeCell ref="AO96:AP96"/>
    <mergeCell ref="AO97:AP97"/>
    <mergeCell ref="AO98:AP98"/>
    <mergeCell ref="AO99:AP99"/>
    <mergeCell ref="AO100:AP100"/>
    <mergeCell ref="AO101:AP101"/>
    <mergeCell ref="AO102:AP102"/>
    <mergeCell ref="AO103:AP103"/>
    <mergeCell ref="AO104:AP104"/>
    <mergeCell ref="AO105:AP105"/>
    <mergeCell ref="AO106:AP106"/>
    <mergeCell ref="AO107:AP107"/>
    <mergeCell ref="AO108:AP108"/>
    <mergeCell ref="AO109:AP109"/>
    <mergeCell ref="AO110:AP110"/>
    <mergeCell ref="AO111:AP111"/>
    <mergeCell ref="AO112:AP112"/>
    <mergeCell ref="AO113:AP113"/>
  </mergeCells>
  <conditionalFormatting sqref="AP8">
    <cfRule type="expression" dxfId="0" priority="1">
      <formula>AND(N(sys_LastImport)&gt;0,(NOW()-sys_LastImport)&lt;1)</formula>
    </cfRule>
    <cfRule type="expression" dxfId="1" priority="2">
      <formula>AND(N(sys_LastImport)&gt;0,(NOW()-sys_LastImport)&gt;=1,(NOW()-sys_LastImport)&lt;3)</formula>
    </cfRule>
    <cfRule type="expression" dxfId="2" priority="3">
      <formula>AND(N(sys_LastImport)&gt;0,(NOW()-sys_LastImport)&gt;=3)</formula>
    </cfRule>
  </conditionalFormatting>
  <dataValidations count="3">
    <dataValidation type="custom" allowBlank="1" showInputMessage="1" showErrorMessage="1" errorTitle="Пороговые значения" error="Граница зеленой зоны должна быть не меньше 0 и меньше границы желтой зоны." sqref="S17:U18">
      <formula1>AND(ISNUMBER(cfg_Green),cfg_Green&gt;=0,cfg_Green&lt;cfg_Yellow)</formula1>
    </dataValidation>
    <dataValidation type="custom" allowBlank="1" showInputMessage="1" showErrorMessage="1" errorTitle="Пороговые значения" error="Граница желтой зоны должна быть больше зеленой и не больше норматива." sqref="S23:U24">
      <formula1>AND(ISNUMBER(cfg_Yellow),cfg_Yellow&gt;cfg_Green,cfg_Yellow&lt;=cfg_Limit)</formula1>
    </dataValidation>
    <dataValidation type="custom" allowBlank="1" showInputMessage="1" showErrorMessage="1" errorTitle="Пороговые значения" error="Норматив должен быть не меньше границы желтой зоны." sqref="S28:U29">
      <formula1>AND(ISNUMBER(cfg_Limit),cfg_Limit&gt;=cfg_Yellow)</formula1>
    </dataValidation>
  </dataValidations>
  <hyperlinks>
    <hyperlink ref="C18" location="'Сводка'!A1" tooltip="Сводка" display="СВОДКА"/>
    <hyperlink ref="C29" location="'СИКН'!A1" tooltip="СИКН" display="СИКН"/>
    <hyperlink ref="C35" location="'Тренды'!A1" tooltip="Тренды" display="ТРЕНДЫ"/>
    <hyperlink ref="C44" location="'Тревоги'!A1" tooltip="Тревоги" display="ТРЕВОГИ"/>
    <hyperlink ref="C52" location="'Отчеты'!A1" tooltip="Отчеты" display="ОТЧЕТЫ"/>
    <hyperlink ref="C61" location="'Настройки'!A1" tooltip="Настройки" display="НАСТРОЙКИ"/>
  </hyperlinks>
  <pageMargins left="0.2" right="0.2" top="0.2" bottom="0.2" header="0.3" footer="0.3"/>
  <pageSetup paperSize="9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B">
    <tabColor rgb="FFF5B70F"/>
  </sheetPr>
  <dimension ref="A1:GS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5"/>
  <cols>
    <col min="1" max="1" width="12.7109375" style="125" customWidth="1"/>
    <col min="2" max="201" width="13.7109375" style="126" customWidth="1"/>
  </cols>
  <sheetData>
    <row r="1" spans="1:1" s="127" customFormat="1" ht="30" customHeight="1">
      <c r="A1" s="127" t="s">
        <v>64</v>
      </c>
    </row>
    <row r="2" spans="1:1" s="128" customFormat="1" ht="24" customHeight="1">
      <c r="A2" s="128" t="s">
        <v>45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Calc"/>
  <dimension ref="A1:AP265"/>
  <sheetViews>
    <sheetView workbookViewId="0"/>
  </sheetViews>
  <sheetFormatPr defaultRowHeight="15"/>
  <cols>
    <col min="1" max="1" width="34.7109375" customWidth="1"/>
    <col min="2" max="2" width="16.7109375" customWidth="1"/>
    <col min="3" max="3" width="22.7109375" customWidth="1"/>
    <col min="4" max="11" width="12.7109375" customWidth="1"/>
    <col min="12" max="42" width="9.7109375" customWidth="1"/>
  </cols>
  <sheetData>
    <row r="1" spans="1:6">
      <c r="A1" s="129" t="s">
        <v>0</v>
      </c>
      <c r="D1" s="129" t="s">
        <v>36</v>
      </c>
      <c r="E1" s="129" t="s">
        <v>37</v>
      </c>
      <c r="F1" s="129" t="s">
        <v>38</v>
      </c>
    </row>
    <row r="2" spans="1:6">
      <c r="A2" t="s">
        <v>1</v>
      </c>
      <c r="B2" s="130">
        <f>TODAY()</f>
        <v>46302.0</v>
      </c>
      <c r="D2" t="s">
        <v>39</v>
      </c>
      <c r="E2">
        <f>c_CntGreen</f>
        <v>0.0</v>
      </c>
      <c r="F2" t="str">
        <f>c_CntGreen&amp;" ("&amp;ROUND(100*c_CntGreen/MAX(1,c_CntValued),0)&amp;"%)"</f>
        <v>0 (0%)</v>
      </c>
    </row>
    <row r="3" spans="1:6">
      <c r="A3" t="s">
        <v>2</v>
      </c>
      <c r="B3" s="130" t="str">
        <f>IF(COUNT(db_Dates)=0,"",MIN(db_Dates))</f>
        <v/>
      </c>
      <c r="D3" t="s">
        <v>40</v>
      </c>
      <c r="E3">
        <f>c_CntYellow</f>
        <v>0.0</v>
      </c>
      <c r="F3" t="str">
        <f>c_CntYellow&amp;" ("&amp;ROUND(100*c_CntYellow/MAX(1,c_CntValued),0)&amp;"%)"</f>
        <v>0 (0%)</v>
      </c>
    </row>
    <row r="4" spans="1:6">
      <c r="A4" t="s">
        <v>3</v>
      </c>
      <c r="B4" s="130" t="str">
        <f>IF(COUNT(db_Dates)=0,"",MAX(db_Dates))</f>
        <v/>
      </c>
      <c r="D4" t="s">
        <v>41</v>
      </c>
      <c r="E4">
        <f>c_CntRed</f>
        <v>0.0</v>
      </c>
      <c r="F4" t="str">
        <f>c_CntRed&amp;" ("&amp;ROUND(100*c_CntRed/MAX(1,c_CntValued),0)&amp;"%)"</f>
        <v>0 (0%)</v>
      </c>
    </row>
    <row r="5" spans="1:6">
      <c r="A5" t="s">
        <v>4</v>
      </c>
      <c r="B5" s="130" t="str">
        <f>IF(c_LastDate="","",DATE(YEAR(c_LastDate),MONTH(c_LastDate),1))</f>
        <v/>
      </c>
      <c r="D5" t="s">
        <v>21</v>
      </c>
      <c r="E5">
        <f>IF(c_ObjCount=0,1,c_CntNoData)</f>
        <v>1.0</v>
      </c>
    </row>
    <row r="6" spans="1:6">
      <c r="A6" t="s">
        <v>5</v>
      </c>
      <c r="B6" s="130" t="str">
        <f>IF(c_FirstDate="","",DATE(YEAR(c_FirstDate),MONTH(c_FirstDate),1))</f>
        <v/>
      </c>
    </row>
    <row r="7" spans="1:6">
      <c r="A7" t="s">
        <v>6</v>
      </c>
      <c r="B7" s="131">
        <f>IF(ISNUMBER(sel_Month),0,IF(sel_Month="",0,IFERROR(MATCH(sel_Month,m_Labels,0),0)))</f>
        <v>0.0</v>
      </c>
      <c r="D7" t="s">
        <v>42</v>
      </c>
      <c r="E7">
        <f>c_ObjCount</f>
        <v>0.0</v>
      </c>
    </row>
    <row r="8" spans="1:6">
      <c r="A8" t="s">
        <v>7</v>
      </c>
      <c r="B8" s="130">
        <f>IF(c_LastMonth="",DATE(YEAR(c_Today),MONTH(c_Today),1),c_LastMonth)</f>
        <v>46296.0</v>
      </c>
    </row>
    <row r="9" spans="1:6">
      <c r="A9" t="s">
        <v>8</v>
      </c>
      <c r="B9" s="130">
        <f>IF(ISNUMBER(sel_Month),DATE(YEAR(sel_Month),MONTH(sel_Month),1),IF(c_SelIdx&gt;0,IF(ISNUMBER(INDEX(m_Starts,c_SelIdx)),INDEX(m_Starts,c_SelIdx),c_DefMonth),c_DefMonth))</f>
        <v>46296.0</v>
      </c>
    </row>
    <row r="10" spans="1:6">
      <c r="A10" t="s">
        <v>9</v>
      </c>
      <c r="B10" s="130">
        <f>EOMONTH(c_MonthStart,0)</f>
        <v>46326.0</v>
      </c>
    </row>
    <row r="11" spans="1:6">
      <c r="A11" t="s">
        <v>10</v>
      </c>
      <c r="B11" s="132">
        <f>AND(c_Today&gt;=c_MonthStart,c_Today&lt;=c_MonthEnd)</f>
        <v>1.0</v>
      </c>
    </row>
    <row r="12" spans="1:6">
      <c r="A12" t="s">
        <v>11</v>
      </c>
      <c r="B12" s="130">
        <f>IF(c_IsCurrent,c_Today,c_MonthEnd)</f>
        <v>46302.0</v>
      </c>
    </row>
    <row r="13" spans="1:6">
      <c r="A13" t="s">
        <v>12</v>
      </c>
      <c r="B13" s="130">
        <f>IF(c_IsCurrent,MIN(c_MonthStart,c_RefDate-1),c_MonthStart)</f>
        <v>46296.0</v>
      </c>
    </row>
    <row r="14" spans="1:6">
      <c r="A14" t="s">
        <v>13</v>
      </c>
      <c r="B14" s="133" t="str">
        <f>CHOOSE(MONTH(c_MonthStart),"Январь","Февраль","Март","Апрель","Май","Июнь","Июль","Август","Сентябрь","Октябрь","Ноябрь","Декабрь")&amp;" "&amp;YEAR(c_MonthStart)</f>
        <v>Октябрь 2026</v>
      </c>
    </row>
    <row r="15" spans="1:6">
      <c r="A15" t="s">
        <v>14</v>
      </c>
      <c r="B15" s="131">
        <f>MIN(40,COUNTA(db_Names))</f>
        <v>0.0</v>
      </c>
    </row>
    <row r="16" spans="1:6">
      <c r="A16" t="s">
        <v>15</v>
      </c>
      <c r="B16" s="130" t="str">
        <f>IF(MAX(D46:D85)=0,"",MAX(D46:D85))</f>
        <v/>
      </c>
    </row>
    <row r="17" spans="1:2">
      <c r="A17" t="s">
        <v>16</v>
      </c>
      <c r="B17" s="131">
        <f>COUNTIF(I46:I85,"&gt;0")</f>
        <v>0.0</v>
      </c>
    </row>
    <row r="18" spans="1:2">
      <c r="A18" t="s">
        <v>17</v>
      </c>
      <c r="B18" s="131">
        <f>COUNTIF(I46:I85,1)</f>
        <v>0.0</v>
      </c>
    </row>
    <row r="19" spans="1:2">
      <c r="A19" t="s">
        <v>18</v>
      </c>
      <c r="B19" s="131">
        <f>COUNTIF(I46:I85,2)</f>
        <v>0.0</v>
      </c>
    </row>
    <row r="20" spans="1:2">
      <c r="A20" t="s">
        <v>19</v>
      </c>
      <c r="B20" s="131">
        <f>COUNTIF(I46:I85,3)+COUNTIF(I46:I85,4)</f>
        <v>0.0</v>
      </c>
    </row>
    <row r="21" spans="1:2">
      <c r="A21" t="s">
        <v>20</v>
      </c>
      <c r="B21" s="131">
        <f>COUNTIF(I46:I85,4)</f>
        <v>0.0</v>
      </c>
    </row>
    <row r="22" spans="1:2">
      <c r="A22" t="s">
        <v>21</v>
      </c>
      <c r="B22" s="131">
        <f>COUNTIF(I46:I85,0)</f>
        <v>0.0</v>
      </c>
    </row>
    <row r="23" spans="1:2">
      <c r="A23" t="s">
        <v>22</v>
      </c>
      <c r="B23" s="134" t="str">
        <f>IF(c_CntValued=0,"",MAX(E46:E85))</f>
        <v/>
      </c>
    </row>
    <row r="24" spans="1:2">
      <c r="A24" t="s">
        <v>23</v>
      </c>
      <c r="B24" s="133" t="str">
        <f>IF(c_CntValued=0,"",C92)</f>
        <v/>
      </c>
    </row>
    <row r="25" spans="1:2">
      <c r="A25" t="s">
        <v>24</v>
      </c>
      <c r="B25" s="134" t="str">
        <f>IF(c_CntValued=0,"",AVERAGE(E46:E85))</f>
        <v/>
      </c>
    </row>
    <row r="26" spans="1:2">
      <c r="A26" t="s">
        <v>25</v>
      </c>
      <c r="B26" s="131">
        <f>IF(c_CntValued=0,0,IF(c_CntOver&gt;0,4,IF(c_CntRed&gt;0,3,IF(c_CntYellow&gt;0,2,1))))</f>
        <v>0.0</v>
      </c>
    </row>
    <row r="27" spans="1:2">
      <c r="A27" t="s">
        <v>26</v>
      </c>
      <c r="B27" s="133" t="str">
        <f>CHOOSE(c_State+1,"НЕТ ДАННЫХ","НОРМА","ВНИМАНИЕ","РИСК","ПРЕВЫШЕНИЕ")</f>
        <v>НЕТ ДАННЫХ</v>
      </c>
    </row>
    <row r="28" spans="1:2">
      <c r="A28" t="s">
        <v>27</v>
      </c>
      <c r="B28" s="133" t="str">
        <f>CHOOSE(c_State+1,IF(c_ObjCount=0,"Загрузите файл с данными",IF(c_IsCurrent,IF(DAY(c_Today)=1,"Нет значений за сегодня и вчера","Нет значений с начала месяца"),"Нет значений за "&amp;LOWER(c_MonthLabel))),"Превышений не зафиксировано","В желтой зоне: "&amp;c_CntYellow&amp;" СИКН","В красной зоне: "&amp;c_CntRed&amp;" СИКН","Выше норматива: "&amp;c_CntOver&amp;" СИКН")</f>
        <v>Загрузите файл с данными</v>
      </c>
    </row>
    <row r="29" spans="1:2">
      <c r="A29" t="s">
        <v>28</v>
      </c>
      <c r="B29" s="133" t="str">
        <f>"0 – "&amp;FIXED(cfg_Green,IF(ROUND(cfg_Green,1)=cfg_Green,1,2))&amp;" ppm"</f>
        <v>0 – 1,5 ppm</v>
      </c>
    </row>
    <row r="30" spans="1:2">
      <c r="A30" t="s">
        <v>29</v>
      </c>
      <c r="B30" s="133" t="str">
        <f>FIXED(cfg_Green,IF(ROUND(cfg_Green,1)=cfg_Green,1,2))&amp;" – "&amp;FIXED(cfg_Yellow,IF(ROUND(cfg_Yellow,1)=cfg_Yellow,1,2))&amp;" ppm"</f>
        <v>1,5 – 2,3 ppm</v>
      </c>
    </row>
    <row r="31" spans="1:2">
      <c r="A31" t="s">
        <v>30</v>
      </c>
      <c r="B31" s="133" t="str">
        <f>"&gt; "&amp;FIXED(cfg_Yellow,IF(ROUND(cfg_Yellow,1)=cfg_Yellow,1,2))&amp;" ppm"</f>
        <v>&gt; 2,3 ppm</v>
      </c>
    </row>
    <row r="32" spans="1:2">
      <c r="A32" t="s">
        <v>31</v>
      </c>
      <c r="B32" s="133" t="str">
        <f>"&gt; "&amp;FIXED(cfg_Limit,IF(ROUND(cfg_Limit,1)=cfg_Limit,1,2))&amp;" ppm"</f>
        <v>&gt; 3,0 ppm</v>
      </c>
    </row>
    <row r="33" spans="1:11">
      <c r="A33" t="s">
        <v>32</v>
      </c>
      <c r="B33" s="131">
        <f>COUNT(B142:B265)</f>
        <v>0.0</v>
      </c>
    </row>
    <row r="34" spans="1:11">
      <c r="A34" t="s">
        <v>33</v>
      </c>
      <c r="B34" s="130">
        <f t="array" ref="B34">MAX(IF(ISNUMBER(L134:AP134),L91:AP91,0))</f>
        <v>0.0</v>
      </c>
    </row>
    <row r="35" spans="1:11">
      <c r="A35" t="s">
        <v>34</v>
      </c>
      <c r="B35" s="133" t="str">
        <f>IF(c_State=0,"НЕТ ДАННЫХ",IF(c_State=1,"ВСЕ В НОРМЕ","ТРЕБУЕТСЯ ВНИМАНИЕ"))</f>
        <v>НЕТ ДАННЫХ</v>
      </c>
    </row>
    <row r="36" spans="1:11">
      <c r="A36" t="s">
        <v>35</v>
      </c>
      <c r="B36" s="131">
        <f>COUNTIF(K46:K85,1)</f>
        <v>0.0</v>
      </c>
    </row>
    <row r="45" spans="1:11">
      <c r="A45" s="129" t="s">
        <v>43</v>
      </c>
      <c r="B45" s="129" t="s">
        <v>44</v>
      </c>
      <c r="C45" s="129" t="s">
        <v>45</v>
      </c>
      <c r="D45" s="129" t="s">
        <v>46</v>
      </c>
      <c r="E45" s="129" t="s">
        <v>47</v>
      </c>
      <c r="F45" s="129" t="s">
        <v>48</v>
      </c>
      <c r="G45" s="129" t="s">
        <v>49</v>
      </c>
      <c r="H45" s="129" t="s">
        <v>50</v>
      </c>
      <c r="I45" s="129" t="s">
        <v>36</v>
      </c>
      <c r="J45" s="129" t="s">
        <v>51</v>
      </c>
      <c r="K45" s="129" t="s">
        <v>52</v>
      </c>
    </row>
    <row r="46" spans="1:11">
      <c r="A46">
        <v>1</v>
      </c>
      <c r="B46" t="str">
        <f>IF($A46&gt;c_ObjCount,"",INDEX(db_Names,1,$A46)&amp;"")</f>
        <v/>
      </c>
      <c r="C46" t="str">
        <f>IF($B46="","",INDEX(db_Groups,1,$A46)&amp;"")</f>
        <v/>
      </c>
      <c r="D46" s="130">
        <f t="array" ref="D46">IF($B46="",0,MAX(IF((db_Dates&gt;=c_LowDate)*(db_Dates&lt;=c_RefDate)*ISNUMBER(INDEX(db_Vals,0,$A46)),db_Dates,0)))</f>
        <v>0.0</v>
      </c>
      <c r="E46" t="str">
        <f>IF($D46=0,"",INDEX(db_Vals,MATCH($D46,db_Dates,0),$A46))</f>
        <v/>
      </c>
      <c r="F46" s="130">
        <f t="array" ref="F46">IF($E46="",0,MAX(IF((db_Dates&lt;$D46)*ISNUMBER(INDEX(db_Vals,0,$A46)),db_Dates,0)))</f>
        <v>0.0</v>
      </c>
      <c r="G46" t="str">
        <f>IF($F46=0,"",INDEX(db_Vals,MATCH($F46,db_Dates,0),$A46))</f>
        <v/>
      </c>
      <c r="H46" t="str">
        <f>IF(OR($E46="",$G46=""),"",ROUND(ROUND($E46,2)-ROUND($G46,2),2))</f>
        <v/>
      </c>
      <c r="I46">
        <f>IF($B46="",-1,IF($E46="",0,IF(ROUND($E46,2)&lt;=cfg_Green,1,IF(ROUND($E46,2)&lt;=cfg_Yellow,2,IF(ROUND($E46,2)&lt;=cfg_Limit,3,4)))))</f>
        <v>-1.0</v>
      </c>
      <c r="J46">
        <f>IF($B46="",-2-$A46/1000000,IF($E46="",-1-$A46/1000000,ROUND($E46,6)-$A46/100000000))</f>
        <v>-2.000001</v>
      </c>
      <c r="K46">
        <f>IF(OR($E46="",c_DataDate=""),0,IF($D46&lt;c_DataDate,1,0))</f>
        <v>0.0</v>
      </c>
    </row>
    <row r="47" spans="1:11">
      <c r="A47">
        <v>2</v>
      </c>
      <c r="B47" t="str">
        <f>IF($A47&gt;c_ObjCount,"",INDEX(db_Names,1,$A47)&amp;"")</f>
        <v/>
      </c>
      <c r="C47" t="str">
        <f>IF($B47="","",INDEX(db_Groups,1,$A47)&amp;"")</f>
        <v/>
      </c>
      <c r="D47" s="130">
        <f t="array" ref="D47">IF($B47="",0,MAX(IF((db_Dates&gt;=c_LowDate)*(db_Dates&lt;=c_RefDate)*ISNUMBER(INDEX(db_Vals,0,$A47)),db_Dates,0)))</f>
        <v>0.0</v>
      </c>
      <c r="E47" t="str">
        <f>IF($D47=0,"",INDEX(db_Vals,MATCH($D47,db_Dates,0),$A47))</f>
        <v/>
      </c>
      <c r="F47" s="130">
        <f t="array" ref="F47">IF($E47="",0,MAX(IF((db_Dates&lt;$D47)*ISNUMBER(INDEX(db_Vals,0,$A47)),db_Dates,0)))</f>
        <v>0.0</v>
      </c>
      <c r="G47" t="str">
        <f>IF($F47=0,"",INDEX(db_Vals,MATCH($F47,db_Dates,0),$A47))</f>
        <v/>
      </c>
      <c r="H47" t="str">
        <f>IF(OR($E47="",$G47=""),"",ROUND(ROUND($E47,2)-ROUND($G47,2),2))</f>
        <v/>
      </c>
      <c r="I47">
        <f>IF($B47="",-1,IF($E47="",0,IF(ROUND($E47,2)&lt;=cfg_Green,1,IF(ROUND($E47,2)&lt;=cfg_Yellow,2,IF(ROUND($E47,2)&lt;=cfg_Limit,3,4)))))</f>
        <v>-1.0</v>
      </c>
      <c r="J47">
        <f>IF($B47="",-2-$A47/1000000,IF($E47="",-1-$A47/1000000,ROUND($E47,6)-$A47/100000000))</f>
        <v>-2.000002</v>
      </c>
      <c r="K47">
        <f>IF(OR($E47="",c_DataDate=""),0,IF($D47&lt;c_DataDate,1,0))</f>
        <v>0.0</v>
      </c>
    </row>
    <row r="48" spans="1:11">
      <c r="A48">
        <v>3</v>
      </c>
      <c r="B48" t="str">
        <f>IF($A48&gt;c_ObjCount,"",INDEX(db_Names,1,$A48)&amp;"")</f>
        <v/>
      </c>
      <c r="C48" t="str">
        <f>IF($B48="","",INDEX(db_Groups,1,$A48)&amp;"")</f>
        <v/>
      </c>
      <c r="D48" s="130">
        <f t="array" ref="D48">IF($B48="",0,MAX(IF((db_Dates&gt;=c_LowDate)*(db_Dates&lt;=c_RefDate)*ISNUMBER(INDEX(db_Vals,0,$A48)),db_Dates,0)))</f>
        <v>0.0</v>
      </c>
      <c r="E48" t="str">
        <f>IF($D48=0,"",INDEX(db_Vals,MATCH($D48,db_Dates,0),$A48))</f>
        <v/>
      </c>
      <c r="F48" s="130">
        <f t="array" ref="F48">IF($E48="",0,MAX(IF((db_Dates&lt;$D48)*ISNUMBER(INDEX(db_Vals,0,$A48)),db_Dates,0)))</f>
        <v>0.0</v>
      </c>
      <c r="G48" t="str">
        <f>IF($F48=0,"",INDEX(db_Vals,MATCH($F48,db_Dates,0),$A48))</f>
        <v/>
      </c>
      <c r="H48" t="str">
        <f>IF(OR($E48="",$G48=""),"",ROUND(ROUND($E48,2)-ROUND($G48,2),2))</f>
        <v/>
      </c>
      <c r="I48">
        <f>IF($B48="",-1,IF($E48="",0,IF(ROUND($E48,2)&lt;=cfg_Green,1,IF(ROUND($E48,2)&lt;=cfg_Yellow,2,IF(ROUND($E48,2)&lt;=cfg_Limit,3,4)))))</f>
        <v>-1.0</v>
      </c>
      <c r="J48">
        <f>IF($B48="",-2-$A48/1000000,IF($E48="",-1-$A48/1000000,ROUND($E48,6)-$A48/100000000))</f>
        <v>-2.000003</v>
      </c>
      <c r="K48">
        <f>IF(OR($E48="",c_DataDate=""),0,IF($D48&lt;c_DataDate,1,0))</f>
        <v>0.0</v>
      </c>
    </row>
    <row r="49" spans="1:11">
      <c r="A49">
        <v>4</v>
      </c>
      <c r="B49" t="str">
        <f>IF($A49&gt;c_ObjCount,"",INDEX(db_Names,1,$A49)&amp;"")</f>
        <v/>
      </c>
      <c r="C49" t="str">
        <f>IF($B49="","",INDEX(db_Groups,1,$A49)&amp;"")</f>
        <v/>
      </c>
      <c r="D49" s="130">
        <f t="array" ref="D49">IF($B49="",0,MAX(IF((db_Dates&gt;=c_LowDate)*(db_Dates&lt;=c_RefDate)*ISNUMBER(INDEX(db_Vals,0,$A49)),db_Dates,0)))</f>
        <v>0.0</v>
      </c>
      <c r="E49" t="str">
        <f>IF($D49=0,"",INDEX(db_Vals,MATCH($D49,db_Dates,0),$A49))</f>
        <v/>
      </c>
      <c r="F49" s="130">
        <f t="array" ref="F49">IF($E49="",0,MAX(IF((db_Dates&lt;$D49)*ISNUMBER(INDEX(db_Vals,0,$A49)),db_Dates,0)))</f>
        <v>0.0</v>
      </c>
      <c r="G49" t="str">
        <f>IF($F49=0,"",INDEX(db_Vals,MATCH($F49,db_Dates,0),$A49))</f>
        <v/>
      </c>
      <c r="H49" t="str">
        <f>IF(OR($E49="",$G49=""),"",ROUND(ROUND($E49,2)-ROUND($G49,2),2))</f>
        <v/>
      </c>
      <c r="I49">
        <f>IF($B49="",-1,IF($E49="",0,IF(ROUND($E49,2)&lt;=cfg_Green,1,IF(ROUND($E49,2)&lt;=cfg_Yellow,2,IF(ROUND($E49,2)&lt;=cfg_Limit,3,4)))))</f>
        <v>-1.0</v>
      </c>
      <c r="J49">
        <f>IF($B49="",-2-$A49/1000000,IF($E49="",-1-$A49/1000000,ROUND($E49,6)-$A49/100000000))</f>
        <v>-2.000004</v>
      </c>
      <c r="K49">
        <f>IF(OR($E49="",c_DataDate=""),0,IF($D49&lt;c_DataDate,1,0))</f>
        <v>0.0</v>
      </c>
    </row>
    <row r="50" spans="1:11">
      <c r="A50">
        <v>5</v>
      </c>
      <c r="B50" t="str">
        <f>IF($A50&gt;c_ObjCount,"",INDEX(db_Names,1,$A50)&amp;"")</f>
        <v/>
      </c>
      <c r="C50" t="str">
        <f>IF($B50="","",INDEX(db_Groups,1,$A50)&amp;"")</f>
        <v/>
      </c>
      <c r="D50" s="130">
        <f t="array" ref="D50">IF($B50="",0,MAX(IF((db_Dates&gt;=c_LowDate)*(db_Dates&lt;=c_RefDate)*ISNUMBER(INDEX(db_Vals,0,$A50)),db_Dates,0)))</f>
        <v>0.0</v>
      </c>
      <c r="E50" t="str">
        <f>IF($D50=0,"",INDEX(db_Vals,MATCH($D50,db_Dates,0),$A50))</f>
        <v/>
      </c>
      <c r="F50" s="130">
        <f t="array" ref="F50">IF($E50="",0,MAX(IF((db_Dates&lt;$D50)*ISNUMBER(INDEX(db_Vals,0,$A50)),db_Dates,0)))</f>
        <v>0.0</v>
      </c>
      <c r="G50" t="str">
        <f>IF($F50=0,"",INDEX(db_Vals,MATCH($F50,db_Dates,0),$A50))</f>
        <v/>
      </c>
      <c r="H50" t="str">
        <f>IF(OR($E50="",$G50=""),"",ROUND(ROUND($E50,2)-ROUND($G50,2),2))</f>
        <v/>
      </c>
      <c r="I50">
        <f>IF($B50="",-1,IF($E50="",0,IF(ROUND($E50,2)&lt;=cfg_Green,1,IF(ROUND($E50,2)&lt;=cfg_Yellow,2,IF(ROUND($E50,2)&lt;=cfg_Limit,3,4)))))</f>
        <v>-1.0</v>
      </c>
      <c r="J50">
        <f>IF($B50="",-2-$A50/1000000,IF($E50="",-1-$A50/1000000,ROUND($E50,6)-$A50/100000000))</f>
        <v>-2.000005</v>
      </c>
      <c r="K50">
        <f>IF(OR($E50="",c_DataDate=""),0,IF($D50&lt;c_DataDate,1,0))</f>
        <v>0.0</v>
      </c>
    </row>
    <row r="51" spans="1:11">
      <c r="A51">
        <v>6</v>
      </c>
      <c r="B51" t="str">
        <f>IF($A51&gt;c_ObjCount,"",INDEX(db_Names,1,$A51)&amp;"")</f>
        <v/>
      </c>
      <c r="C51" t="str">
        <f>IF($B51="","",INDEX(db_Groups,1,$A51)&amp;"")</f>
        <v/>
      </c>
      <c r="D51" s="130">
        <f t="array" ref="D51">IF($B51="",0,MAX(IF((db_Dates&gt;=c_LowDate)*(db_Dates&lt;=c_RefDate)*ISNUMBER(INDEX(db_Vals,0,$A51)),db_Dates,0)))</f>
        <v>0.0</v>
      </c>
      <c r="E51" t="str">
        <f>IF($D51=0,"",INDEX(db_Vals,MATCH($D51,db_Dates,0),$A51))</f>
        <v/>
      </c>
      <c r="F51" s="130">
        <f t="array" ref="F51">IF($E51="",0,MAX(IF((db_Dates&lt;$D51)*ISNUMBER(INDEX(db_Vals,0,$A51)),db_Dates,0)))</f>
        <v>0.0</v>
      </c>
      <c r="G51" t="str">
        <f>IF($F51=0,"",INDEX(db_Vals,MATCH($F51,db_Dates,0),$A51))</f>
        <v/>
      </c>
      <c r="H51" t="str">
        <f>IF(OR($E51="",$G51=""),"",ROUND(ROUND($E51,2)-ROUND($G51,2),2))</f>
        <v/>
      </c>
      <c r="I51">
        <f>IF($B51="",-1,IF($E51="",0,IF(ROUND($E51,2)&lt;=cfg_Green,1,IF(ROUND($E51,2)&lt;=cfg_Yellow,2,IF(ROUND($E51,2)&lt;=cfg_Limit,3,4)))))</f>
        <v>-1.0</v>
      </c>
      <c r="J51">
        <f>IF($B51="",-2-$A51/1000000,IF($E51="",-1-$A51/1000000,ROUND($E51,6)-$A51/100000000))</f>
        <v>-2.000006</v>
      </c>
      <c r="K51">
        <f>IF(OR($E51="",c_DataDate=""),0,IF($D51&lt;c_DataDate,1,0))</f>
        <v>0.0</v>
      </c>
    </row>
    <row r="52" spans="1:11">
      <c r="A52">
        <v>7</v>
      </c>
      <c r="B52" t="str">
        <f>IF($A52&gt;c_ObjCount,"",INDEX(db_Names,1,$A52)&amp;"")</f>
        <v/>
      </c>
      <c r="C52" t="str">
        <f>IF($B52="","",INDEX(db_Groups,1,$A52)&amp;"")</f>
        <v/>
      </c>
      <c r="D52" s="130">
        <f t="array" ref="D52">IF($B52="",0,MAX(IF((db_Dates&gt;=c_LowDate)*(db_Dates&lt;=c_RefDate)*ISNUMBER(INDEX(db_Vals,0,$A52)),db_Dates,0)))</f>
        <v>0.0</v>
      </c>
      <c r="E52" t="str">
        <f>IF($D52=0,"",INDEX(db_Vals,MATCH($D52,db_Dates,0),$A52))</f>
        <v/>
      </c>
      <c r="F52" s="130">
        <f t="array" ref="F52">IF($E52="",0,MAX(IF((db_Dates&lt;$D52)*ISNUMBER(INDEX(db_Vals,0,$A52)),db_Dates,0)))</f>
        <v>0.0</v>
      </c>
      <c r="G52" t="str">
        <f>IF($F52=0,"",INDEX(db_Vals,MATCH($F52,db_Dates,0),$A52))</f>
        <v/>
      </c>
      <c r="H52" t="str">
        <f>IF(OR($E52="",$G52=""),"",ROUND(ROUND($E52,2)-ROUND($G52,2),2))</f>
        <v/>
      </c>
      <c r="I52">
        <f>IF($B52="",-1,IF($E52="",0,IF(ROUND($E52,2)&lt;=cfg_Green,1,IF(ROUND($E52,2)&lt;=cfg_Yellow,2,IF(ROUND($E52,2)&lt;=cfg_Limit,3,4)))))</f>
        <v>-1.0</v>
      </c>
      <c r="J52">
        <f>IF($B52="",-2-$A52/1000000,IF($E52="",-1-$A52/1000000,ROUND($E52,6)-$A52/100000000))</f>
        <v>-2.000007</v>
      </c>
      <c r="K52">
        <f>IF(OR($E52="",c_DataDate=""),0,IF($D52&lt;c_DataDate,1,0))</f>
        <v>0.0</v>
      </c>
    </row>
    <row r="53" spans="1:11">
      <c r="A53">
        <v>8</v>
      </c>
      <c r="B53" t="str">
        <f>IF($A53&gt;c_ObjCount,"",INDEX(db_Names,1,$A53)&amp;"")</f>
        <v/>
      </c>
      <c r="C53" t="str">
        <f>IF($B53="","",INDEX(db_Groups,1,$A53)&amp;"")</f>
        <v/>
      </c>
      <c r="D53" s="130">
        <f t="array" ref="D53">IF($B53="",0,MAX(IF((db_Dates&gt;=c_LowDate)*(db_Dates&lt;=c_RefDate)*ISNUMBER(INDEX(db_Vals,0,$A53)),db_Dates,0)))</f>
        <v>0.0</v>
      </c>
      <c r="E53" t="str">
        <f>IF($D53=0,"",INDEX(db_Vals,MATCH($D53,db_Dates,0),$A53))</f>
        <v/>
      </c>
      <c r="F53" s="130">
        <f t="array" ref="F53">IF($E53="",0,MAX(IF((db_Dates&lt;$D53)*ISNUMBER(INDEX(db_Vals,0,$A53)),db_Dates,0)))</f>
        <v>0.0</v>
      </c>
      <c r="G53" t="str">
        <f>IF($F53=0,"",INDEX(db_Vals,MATCH($F53,db_Dates,0),$A53))</f>
        <v/>
      </c>
      <c r="H53" t="str">
        <f>IF(OR($E53="",$G53=""),"",ROUND(ROUND($E53,2)-ROUND($G53,2),2))</f>
        <v/>
      </c>
      <c r="I53">
        <f>IF($B53="",-1,IF($E53="",0,IF(ROUND($E53,2)&lt;=cfg_Green,1,IF(ROUND($E53,2)&lt;=cfg_Yellow,2,IF(ROUND($E53,2)&lt;=cfg_Limit,3,4)))))</f>
        <v>-1.0</v>
      </c>
      <c r="J53">
        <f>IF($B53="",-2-$A53/1000000,IF($E53="",-1-$A53/1000000,ROUND($E53,6)-$A53/100000000))</f>
        <v>-2.000008</v>
      </c>
      <c r="K53">
        <f>IF(OR($E53="",c_DataDate=""),0,IF($D53&lt;c_DataDate,1,0))</f>
        <v>0.0</v>
      </c>
    </row>
    <row r="54" spans="1:11">
      <c r="A54">
        <v>9</v>
      </c>
      <c r="B54" t="str">
        <f>IF($A54&gt;c_ObjCount,"",INDEX(db_Names,1,$A54)&amp;"")</f>
        <v/>
      </c>
      <c r="C54" t="str">
        <f>IF($B54="","",INDEX(db_Groups,1,$A54)&amp;"")</f>
        <v/>
      </c>
      <c r="D54" s="130">
        <f t="array" ref="D54">IF($B54="",0,MAX(IF((db_Dates&gt;=c_LowDate)*(db_Dates&lt;=c_RefDate)*ISNUMBER(INDEX(db_Vals,0,$A54)),db_Dates,0)))</f>
        <v>0.0</v>
      </c>
      <c r="E54" t="str">
        <f>IF($D54=0,"",INDEX(db_Vals,MATCH($D54,db_Dates,0),$A54))</f>
        <v/>
      </c>
      <c r="F54" s="130">
        <f t="array" ref="F54">IF($E54="",0,MAX(IF((db_Dates&lt;$D54)*ISNUMBER(INDEX(db_Vals,0,$A54)),db_Dates,0)))</f>
        <v>0.0</v>
      </c>
      <c r="G54" t="str">
        <f>IF($F54=0,"",INDEX(db_Vals,MATCH($F54,db_Dates,0),$A54))</f>
        <v/>
      </c>
      <c r="H54" t="str">
        <f>IF(OR($E54="",$G54=""),"",ROUND(ROUND($E54,2)-ROUND($G54,2),2))</f>
        <v/>
      </c>
      <c r="I54">
        <f>IF($B54="",-1,IF($E54="",0,IF(ROUND($E54,2)&lt;=cfg_Green,1,IF(ROUND($E54,2)&lt;=cfg_Yellow,2,IF(ROUND($E54,2)&lt;=cfg_Limit,3,4)))))</f>
        <v>-1.0</v>
      </c>
      <c r="J54">
        <f>IF($B54="",-2-$A54/1000000,IF($E54="",-1-$A54/1000000,ROUND($E54,6)-$A54/100000000))</f>
        <v>-2.000009</v>
      </c>
      <c r="K54">
        <f>IF(OR($E54="",c_DataDate=""),0,IF($D54&lt;c_DataDate,1,0))</f>
        <v>0.0</v>
      </c>
    </row>
    <row r="55" spans="1:11">
      <c r="A55">
        <v>10</v>
      </c>
      <c r="B55" t="str">
        <f>IF($A55&gt;c_ObjCount,"",INDEX(db_Names,1,$A55)&amp;"")</f>
        <v/>
      </c>
      <c r="C55" t="str">
        <f>IF($B55="","",INDEX(db_Groups,1,$A55)&amp;"")</f>
        <v/>
      </c>
      <c r="D55" s="130">
        <f t="array" ref="D55">IF($B55="",0,MAX(IF((db_Dates&gt;=c_LowDate)*(db_Dates&lt;=c_RefDate)*ISNUMBER(INDEX(db_Vals,0,$A55)),db_Dates,0)))</f>
        <v>0.0</v>
      </c>
      <c r="E55" t="str">
        <f>IF($D55=0,"",INDEX(db_Vals,MATCH($D55,db_Dates,0),$A55))</f>
        <v/>
      </c>
      <c r="F55" s="130">
        <f t="array" ref="F55">IF($E55="",0,MAX(IF((db_Dates&lt;$D55)*ISNUMBER(INDEX(db_Vals,0,$A55)),db_Dates,0)))</f>
        <v>0.0</v>
      </c>
      <c r="G55" t="str">
        <f>IF($F55=0,"",INDEX(db_Vals,MATCH($F55,db_Dates,0),$A55))</f>
        <v/>
      </c>
      <c r="H55" t="str">
        <f>IF(OR($E55="",$G55=""),"",ROUND(ROUND($E55,2)-ROUND($G55,2),2))</f>
        <v/>
      </c>
      <c r="I55">
        <f>IF($B55="",-1,IF($E55="",0,IF(ROUND($E55,2)&lt;=cfg_Green,1,IF(ROUND($E55,2)&lt;=cfg_Yellow,2,IF(ROUND($E55,2)&lt;=cfg_Limit,3,4)))))</f>
        <v>-1.0</v>
      </c>
      <c r="J55">
        <f>IF($B55="",-2-$A55/1000000,IF($E55="",-1-$A55/1000000,ROUND($E55,6)-$A55/100000000))</f>
        <v>-2.00001</v>
      </c>
      <c r="K55">
        <f>IF(OR($E55="",c_DataDate=""),0,IF($D55&lt;c_DataDate,1,0))</f>
        <v>0.0</v>
      </c>
    </row>
    <row r="56" spans="1:11">
      <c r="A56">
        <v>11</v>
      </c>
      <c r="B56" t="str">
        <f>IF($A56&gt;c_ObjCount,"",INDEX(db_Names,1,$A56)&amp;"")</f>
        <v/>
      </c>
      <c r="C56" t="str">
        <f>IF($B56="","",INDEX(db_Groups,1,$A56)&amp;"")</f>
        <v/>
      </c>
      <c r="D56" s="130">
        <f t="array" ref="D56">IF($B56="",0,MAX(IF((db_Dates&gt;=c_LowDate)*(db_Dates&lt;=c_RefDate)*ISNUMBER(INDEX(db_Vals,0,$A56)),db_Dates,0)))</f>
        <v>0.0</v>
      </c>
      <c r="E56" t="str">
        <f>IF($D56=0,"",INDEX(db_Vals,MATCH($D56,db_Dates,0),$A56))</f>
        <v/>
      </c>
      <c r="F56" s="130">
        <f t="array" ref="F56">IF($E56="",0,MAX(IF((db_Dates&lt;$D56)*ISNUMBER(INDEX(db_Vals,0,$A56)),db_Dates,0)))</f>
        <v>0.0</v>
      </c>
      <c r="G56" t="str">
        <f>IF($F56=0,"",INDEX(db_Vals,MATCH($F56,db_Dates,0),$A56))</f>
        <v/>
      </c>
      <c r="H56" t="str">
        <f>IF(OR($E56="",$G56=""),"",ROUND(ROUND($E56,2)-ROUND($G56,2),2))</f>
        <v/>
      </c>
      <c r="I56">
        <f>IF($B56="",-1,IF($E56="",0,IF(ROUND($E56,2)&lt;=cfg_Green,1,IF(ROUND($E56,2)&lt;=cfg_Yellow,2,IF(ROUND($E56,2)&lt;=cfg_Limit,3,4)))))</f>
        <v>-1.0</v>
      </c>
      <c r="J56">
        <f>IF($B56="",-2-$A56/1000000,IF($E56="",-1-$A56/1000000,ROUND($E56,6)-$A56/100000000))</f>
        <v>-2.000011</v>
      </c>
      <c r="K56">
        <f>IF(OR($E56="",c_DataDate=""),0,IF($D56&lt;c_DataDate,1,0))</f>
        <v>0.0</v>
      </c>
    </row>
    <row r="57" spans="1:11">
      <c r="A57">
        <v>12</v>
      </c>
      <c r="B57" t="str">
        <f>IF($A57&gt;c_ObjCount,"",INDEX(db_Names,1,$A57)&amp;"")</f>
        <v/>
      </c>
      <c r="C57" t="str">
        <f>IF($B57="","",INDEX(db_Groups,1,$A57)&amp;"")</f>
        <v/>
      </c>
      <c r="D57" s="130">
        <f t="array" ref="D57">IF($B57="",0,MAX(IF((db_Dates&gt;=c_LowDate)*(db_Dates&lt;=c_RefDate)*ISNUMBER(INDEX(db_Vals,0,$A57)),db_Dates,0)))</f>
        <v>0.0</v>
      </c>
      <c r="E57" t="str">
        <f>IF($D57=0,"",INDEX(db_Vals,MATCH($D57,db_Dates,0),$A57))</f>
        <v/>
      </c>
      <c r="F57" s="130">
        <f t="array" ref="F57">IF($E57="",0,MAX(IF((db_Dates&lt;$D57)*ISNUMBER(INDEX(db_Vals,0,$A57)),db_Dates,0)))</f>
        <v>0.0</v>
      </c>
      <c r="G57" t="str">
        <f>IF($F57=0,"",INDEX(db_Vals,MATCH($F57,db_Dates,0),$A57))</f>
        <v/>
      </c>
      <c r="H57" t="str">
        <f>IF(OR($E57="",$G57=""),"",ROUND(ROUND($E57,2)-ROUND($G57,2),2))</f>
        <v/>
      </c>
      <c r="I57">
        <f>IF($B57="",-1,IF($E57="",0,IF(ROUND($E57,2)&lt;=cfg_Green,1,IF(ROUND($E57,2)&lt;=cfg_Yellow,2,IF(ROUND($E57,2)&lt;=cfg_Limit,3,4)))))</f>
        <v>-1.0</v>
      </c>
      <c r="J57">
        <f>IF($B57="",-2-$A57/1000000,IF($E57="",-1-$A57/1000000,ROUND($E57,6)-$A57/100000000))</f>
        <v>-2.000012</v>
      </c>
      <c r="K57">
        <f>IF(OR($E57="",c_DataDate=""),0,IF($D57&lt;c_DataDate,1,0))</f>
        <v>0.0</v>
      </c>
    </row>
    <row r="58" spans="1:11">
      <c r="A58">
        <v>13</v>
      </c>
      <c r="B58" t="str">
        <f>IF($A58&gt;c_ObjCount,"",INDEX(db_Names,1,$A58)&amp;"")</f>
        <v/>
      </c>
      <c r="C58" t="str">
        <f>IF($B58="","",INDEX(db_Groups,1,$A58)&amp;"")</f>
        <v/>
      </c>
      <c r="D58" s="130">
        <f t="array" ref="D58">IF($B58="",0,MAX(IF((db_Dates&gt;=c_LowDate)*(db_Dates&lt;=c_RefDate)*ISNUMBER(INDEX(db_Vals,0,$A58)),db_Dates,0)))</f>
        <v>0.0</v>
      </c>
      <c r="E58" t="str">
        <f>IF($D58=0,"",INDEX(db_Vals,MATCH($D58,db_Dates,0),$A58))</f>
        <v/>
      </c>
      <c r="F58" s="130">
        <f t="array" ref="F58">IF($E58="",0,MAX(IF((db_Dates&lt;$D58)*ISNUMBER(INDEX(db_Vals,0,$A58)),db_Dates,0)))</f>
        <v>0.0</v>
      </c>
      <c r="G58" t="str">
        <f>IF($F58=0,"",INDEX(db_Vals,MATCH($F58,db_Dates,0),$A58))</f>
        <v/>
      </c>
      <c r="H58" t="str">
        <f>IF(OR($E58="",$G58=""),"",ROUND(ROUND($E58,2)-ROUND($G58,2),2))</f>
        <v/>
      </c>
      <c r="I58">
        <f>IF($B58="",-1,IF($E58="",0,IF(ROUND($E58,2)&lt;=cfg_Green,1,IF(ROUND($E58,2)&lt;=cfg_Yellow,2,IF(ROUND($E58,2)&lt;=cfg_Limit,3,4)))))</f>
        <v>-1.0</v>
      </c>
      <c r="J58">
        <f>IF($B58="",-2-$A58/1000000,IF($E58="",-1-$A58/1000000,ROUND($E58,6)-$A58/100000000))</f>
        <v>-2.000013</v>
      </c>
      <c r="K58">
        <f>IF(OR($E58="",c_DataDate=""),0,IF($D58&lt;c_DataDate,1,0))</f>
        <v>0.0</v>
      </c>
    </row>
    <row r="59" spans="1:11">
      <c r="A59">
        <v>14</v>
      </c>
      <c r="B59" t="str">
        <f>IF($A59&gt;c_ObjCount,"",INDEX(db_Names,1,$A59)&amp;"")</f>
        <v/>
      </c>
      <c r="C59" t="str">
        <f>IF($B59="","",INDEX(db_Groups,1,$A59)&amp;"")</f>
        <v/>
      </c>
      <c r="D59" s="130">
        <f t="array" ref="D59">IF($B59="",0,MAX(IF((db_Dates&gt;=c_LowDate)*(db_Dates&lt;=c_RefDate)*ISNUMBER(INDEX(db_Vals,0,$A59)),db_Dates,0)))</f>
        <v>0.0</v>
      </c>
      <c r="E59" t="str">
        <f>IF($D59=0,"",INDEX(db_Vals,MATCH($D59,db_Dates,0),$A59))</f>
        <v/>
      </c>
      <c r="F59" s="130">
        <f t="array" ref="F59">IF($E59="",0,MAX(IF((db_Dates&lt;$D59)*ISNUMBER(INDEX(db_Vals,0,$A59)),db_Dates,0)))</f>
        <v>0.0</v>
      </c>
      <c r="G59" t="str">
        <f>IF($F59=0,"",INDEX(db_Vals,MATCH($F59,db_Dates,0),$A59))</f>
        <v/>
      </c>
      <c r="H59" t="str">
        <f>IF(OR($E59="",$G59=""),"",ROUND(ROUND($E59,2)-ROUND($G59,2),2))</f>
        <v/>
      </c>
      <c r="I59">
        <f>IF($B59="",-1,IF($E59="",0,IF(ROUND($E59,2)&lt;=cfg_Green,1,IF(ROUND($E59,2)&lt;=cfg_Yellow,2,IF(ROUND($E59,2)&lt;=cfg_Limit,3,4)))))</f>
        <v>-1.0</v>
      </c>
      <c r="J59">
        <f>IF($B59="",-2-$A59/1000000,IF($E59="",-1-$A59/1000000,ROUND($E59,6)-$A59/100000000))</f>
        <v>-2.000014</v>
      </c>
      <c r="K59">
        <f>IF(OR($E59="",c_DataDate=""),0,IF($D59&lt;c_DataDate,1,0))</f>
        <v>0.0</v>
      </c>
    </row>
    <row r="60" spans="1:11">
      <c r="A60">
        <v>15</v>
      </c>
      <c r="B60" t="str">
        <f>IF($A60&gt;c_ObjCount,"",INDEX(db_Names,1,$A60)&amp;"")</f>
        <v/>
      </c>
      <c r="C60" t="str">
        <f>IF($B60="","",INDEX(db_Groups,1,$A60)&amp;"")</f>
        <v/>
      </c>
      <c r="D60" s="130">
        <f t="array" ref="D60">IF($B60="",0,MAX(IF((db_Dates&gt;=c_LowDate)*(db_Dates&lt;=c_RefDate)*ISNUMBER(INDEX(db_Vals,0,$A60)),db_Dates,0)))</f>
        <v>0.0</v>
      </c>
      <c r="E60" t="str">
        <f>IF($D60=0,"",INDEX(db_Vals,MATCH($D60,db_Dates,0),$A60))</f>
        <v/>
      </c>
      <c r="F60" s="130">
        <f t="array" ref="F60">IF($E60="",0,MAX(IF((db_Dates&lt;$D60)*ISNUMBER(INDEX(db_Vals,0,$A60)),db_Dates,0)))</f>
        <v>0.0</v>
      </c>
      <c r="G60" t="str">
        <f>IF($F60=0,"",INDEX(db_Vals,MATCH($F60,db_Dates,0),$A60))</f>
        <v/>
      </c>
      <c r="H60" t="str">
        <f>IF(OR($E60="",$G60=""),"",ROUND(ROUND($E60,2)-ROUND($G60,2),2))</f>
        <v/>
      </c>
      <c r="I60">
        <f>IF($B60="",-1,IF($E60="",0,IF(ROUND($E60,2)&lt;=cfg_Green,1,IF(ROUND($E60,2)&lt;=cfg_Yellow,2,IF(ROUND($E60,2)&lt;=cfg_Limit,3,4)))))</f>
        <v>-1.0</v>
      </c>
      <c r="J60">
        <f>IF($B60="",-2-$A60/1000000,IF($E60="",-1-$A60/1000000,ROUND($E60,6)-$A60/100000000))</f>
        <v>-2.000015</v>
      </c>
      <c r="K60">
        <f>IF(OR($E60="",c_DataDate=""),0,IF($D60&lt;c_DataDate,1,0))</f>
        <v>0.0</v>
      </c>
    </row>
    <row r="61" spans="1:11">
      <c r="A61">
        <v>16</v>
      </c>
      <c r="B61" t="str">
        <f>IF($A61&gt;c_ObjCount,"",INDEX(db_Names,1,$A61)&amp;"")</f>
        <v/>
      </c>
      <c r="C61" t="str">
        <f>IF($B61="","",INDEX(db_Groups,1,$A61)&amp;"")</f>
        <v/>
      </c>
      <c r="D61" s="130">
        <f t="array" ref="D61">IF($B61="",0,MAX(IF((db_Dates&gt;=c_LowDate)*(db_Dates&lt;=c_RefDate)*ISNUMBER(INDEX(db_Vals,0,$A61)),db_Dates,0)))</f>
        <v>0.0</v>
      </c>
      <c r="E61" t="str">
        <f>IF($D61=0,"",INDEX(db_Vals,MATCH($D61,db_Dates,0),$A61))</f>
        <v/>
      </c>
      <c r="F61" s="130">
        <f t="array" ref="F61">IF($E61="",0,MAX(IF((db_Dates&lt;$D61)*ISNUMBER(INDEX(db_Vals,0,$A61)),db_Dates,0)))</f>
        <v>0.0</v>
      </c>
      <c r="G61" t="str">
        <f>IF($F61=0,"",INDEX(db_Vals,MATCH($F61,db_Dates,0),$A61))</f>
        <v/>
      </c>
      <c r="H61" t="str">
        <f>IF(OR($E61="",$G61=""),"",ROUND(ROUND($E61,2)-ROUND($G61,2),2))</f>
        <v/>
      </c>
      <c r="I61">
        <f>IF($B61="",-1,IF($E61="",0,IF(ROUND($E61,2)&lt;=cfg_Green,1,IF(ROUND($E61,2)&lt;=cfg_Yellow,2,IF(ROUND($E61,2)&lt;=cfg_Limit,3,4)))))</f>
        <v>-1.0</v>
      </c>
      <c r="J61">
        <f>IF($B61="",-2-$A61/1000000,IF($E61="",-1-$A61/1000000,ROUND($E61,6)-$A61/100000000))</f>
        <v>-2.000016</v>
      </c>
      <c r="K61">
        <f>IF(OR($E61="",c_DataDate=""),0,IF($D61&lt;c_DataDate,1,0))</f>
        <v>0.0</v>
      </c>
    </row>
    <row r="62" spans="1:11">
      <c r="A62">
        <v>17</v>
      </c>
      <c r="B62" t="str">
        <f>IF($A62&gt;c_ObjCount,"",INDEX(db_Names,1,$A62)&amp;"")</f>
        <v/>
      </c>
      <c r="C62" t="str">
        <f>IF($B62="","",INDEX(db_Groups,1,$A62)&amp;"")</f>
        <v/>
      </c>
      <c r="D62" s="130">
        <f t="array" ref="D62">IF($B62="",0,MAX(IF((db_Dates&gt;=c_LowDate)*(db_Dates&lt;=c_RefDate)*ISNUMBER(INDEX(db_Vals,0,$A62)),db_Dates,0)))</f>
        <v>0.0</v>
      </c>
      <c r="E62" t="str">
        <f>IF($D62=0,"",INDEX(db_Vals,MATCH($D62,db_Dates,0),$A62))</f>
        <v/>
      </c>
      <c r="F62" s="130">
        <f t="array" ref="F62">IF($E62="",0,MAX(IF((db_Dates&lt;$D62)*ISNUMBER(INDEX(db_Vals,0,$A62)),db_Dates,0)))</f>
        <v>0.0</v>
      </c>
      <c r="G62" t="str">
        <f>IF($F62=0,"",INDEX(db_Vals,MATCH($F62,db_Dates,0),$A62))</f>
        <v/>
      </c>
      <c r="H62" t="str">
        <f>IF(OR($E62="",$G62=""),"",ROUND(ROUND($E62,2)-ROUND($G62,2),2))</f>
        <v/>
      </c>
      <c r="I62">
        <f>IF($B62="",-1,IF($E62="",0,IF(ROUND($E62,2)&lt;=cfg_Green,1,IF(ROUND($E62,2)&lt;=cfg_Yellow,2,IF(ROUND($E62,2)&lt;=cfg_Limit,3,4)))))</f>
        <v>-1.0</v>
      </c>
      <c r="J62">
        <f>IF($B62="",-2-$A62/1000000,IF($E62="",-1-$A62/1000000,ROUND($E62,6)-$A62/100000000))</f>
        <v>-2.000017</v>
      </c>
      <c r="K62">
        <f>IF(OR($E62="",c_DataDate=""),0,IF($D62&lt;c_DataDate,1,0))</f>
        <v>0.0</v>
      </c>
    </row>
    <row r="63" spans="1:11">
      <c r="A63">
        <v>18</v>
      </c>
      <c r="B63" t="str">
        <f>IF($A63&gt;c_ObjCount,"",INDEX(db_Names,1,$A63)&amp;"")</f>
        <v/>
      </c>
      <c r="C63" t="str">
        <f>IF($B63="","",INDEX(db_Groups,1,$A63)&amp;"")</f>
        <v/>
      </c>
      <c r="D63" s="130">
        <f t="array" ref="D63">IF($B63="",0,MAX(IF((db_Dates&gt;=c_LowDate)*(db_Dates&lt;=c_RefDate)*ISNUMBER(INDEX(db_Vals,0,$A63)),db_Dates,0)))</f>
        <v>0.0</v>
      </c>
      <c r="E63" t="str">
        <f>IF($D63=0,"",INDEX(db_Vals,MATCH($D63,db_Dates,0),$A63))</f>
        <v/>
      </c>
      <c r="F63" s="130">
        <f t="array" ref="F63">IF($E63="",0,MAX(IF((db_Dates&lt;$D63)*ISNUMBER(INDEX(db_Vals,0,$A63)),db_Dates,0)))</f>
        <v>0.0</v>
      </c>
      <c r="G63" t="str">
        <f>IF($F63=0,"",INDEX(db_Vals,MATCH($F63,db_Dates,0),$A63))</f>
        <v/>
      </c>
      <c r="H63" t="str">
        <f>IF(OR($E63="",$G63=""),"",ROUND(ROUND($E63,2)-ROUND($G63,2),2))</f>
        <v/>
      </c>
      <c r="I63">
        <f>IF($B63="",-1,IF($E63="",0,IF(ROUND($E63,2)&lt;=cfg_Green,1,IF(ROUND($E63,2)&lt;=cfg_Yellow,2,IF(ROUND($E63,2)&lt;=cfg_Limit,3,4)))))</f>
        <v>-1.0</v>
      </c>
      <c r="J63">
        <f>IF($B63="",-2-$A63/1000000,IF($E63="",-1-$A63/1000000,ROUND($E63,6)-$A63/100000000))</f>
        <v>-2.000018</v>
      </c>
      <c r="K63">
        <f>IF(OR($E63="",c_DataDate=""),0,IF($D63&lt;c_DataDate,1,0))</f>
        <v>0.0</v>
      </c>
    </row>
    <row r="64" spans="1:11">
      <c r="A64">
        <v>19</v>
      </c>
      <c r="B64" t="str">
        <f>IF($A64&gt;c_ObjCount,"",INDEX(db_Names,1,$A64)&amp;"")</f>
        <v/>
      </c>
      <c r="C64" t="str">
        <f>IF($B64="","",INDEX(db_Groups,1,$A64)&amp;"")</f>
        <v/>
      </c>
      <c r="D64" s="130">
        <f t="array" ref="D64">IF($B64="",0,MAX(IF((db_Dates&gt;=c_LowDate)*(db_Dates&lt;=c_RefDate)*ISNUMBER(INDEX(db_Vals,0,$A64)),db_Dates,0)))</f>
        <v>0.0</v>
      </c>
      <c r="E64" t="str">
        <f>IF($D64=0,"",INDEX(db_Vals,MATCH($D64,db_Dates,0),$A64))</f>
        <v/>
      </c>
      <c r="F64" s="130">
        <f t="array" ref="F64">IF($E64="",0,MAX(IF((db_Dates&lt;$D64)*ISNUMBER(INDEX(db_Vals,0,$A64)),db_Dates,0)))</f>
        <v>0.0</v>
      </c>
      <c r="G64" t="str">
        <f>IF($F64=0,"",INDEX(db_Vals,MATCH($F64,db_Dates,0),$A64))</f>
        <v/>
      </c>
      <c r="H64" t="str">
        <f>IF(OR($E64="",$G64=""),"",ROUND(ROUND($E64,2)-ROUND($G64,2),2))</f>
        <v/>
      </c>
      <c r="I64">
        <f>IF($B64="",-1,IF($E64="",0,IF(ROUND($E64,2)&lt;=cfg_Green,1,IF(ROUND($E64,2)&lt;=cfg_Yellow,2,IF(ROUND($E64,2)&lt;=cfg_Limit,3,4)))))</f>
        <v>-1.0</v>
      </c>
      <c r="J64">
        <f>IF($B64="",-2-$A64/1000000,IF($E64="",-1-$A64/1000000,ROUND($E64,6)-$A64/100000000))</f>
        <v>-2.000019</v>
      </c>
      <c r="K64">
        <f>IF(OR($E64="",c_DataDate=""),0,IF($D64&lt;c_DataDate,1,0))</f>
        <v>0.0</v>
      </c>
    </row>
    <row r="65" spans="1:11">
      <c r="A65">
        <v>20</v>
      </c>
      <c r="B65" t="str">
        <f>IF($A65&gt;c_ObjCount,"",INDEX(db_Names,1,$A65)&amp;"")</f>
        <v/>
      </c>
      <c r="C65" t="str">
        <f>IF($B65="","",INDEX(db_Groups,1,$A65)&amp;"")</f>
        <v/>
      </c>
      <c r="D65" s="130">
        <f t="array" ref="D65">IF($B65="",0,MAX(IF((db_Dates&gt;=c_LowDate)*(db_Dates&lt;=c_RefDate)*ISNUMBER(INDEX(db_Vals,0,$A65)),db_Dates,0)))</f>
        <v>0.0</v>
      </c>
      <c r="E65" t="str">
        <f>IF($D65=0,"",INDEX(db_Vals,MATCH($D65,db_Dates,0),$A65))</f>
        <v/>
      </c>
      <c r="F65" s="130">
        <f t="array" ref="F65">IF($E65="",0,MAX(IF((db_Dates&lt;$D65)*ISNUMBER(INDEX(db_Vals,0,$A65)),db_Dates,0)))</f>
        <v>0.0</v>
      </c>
      <c r="G65" t="str">
        <f>IF($F65=0,"",INDEX(db_Vals,MATCH($F65,db_Dates,0),$A65))</f>
        <v/>
      </c>
      <c r="H65" t="str">
        <f>IF(OR($E65="",$G65=""),"",ROUND(ROUND($E65,2)-ROUND($G65,2),2))</f>
        <v/>
      </c>
      <c r="I65">
        <f>IF($B65="",-1,IF($E65="",0,IF(ROUND($E65,2)&lt;=cfg_Green,1,IF(ROUND($E65,2)&lt;=cfg_Yellow,2,IF(ROUND($E65,2)&lt;=cfg_Limit,3,4)))))</f>
        <v>-1.0</v>
      </c>
      <c r="J65">
        <f>IF($B65="",-2-$A65/1000000,IF($E65="",-1-$A65/1000000,ROUND($E65,6)-$A65/100000000))</f>
        <v>-2.00002</v>
      </c>
      <c r="K65">
        <f>IF(OR($E65="",c_DataDate=""),0,IF($D65&lt;c_DataDate,1,0))</f>
        <v>0.0</v>
      </c>
    </row>
    <row r="66" spans="1:11">
      <c r="A66">
        <v>21</v>
      </c>
      <c r="B66" t="str">
        <f>IF($A66&gt;c_ObjCount,"",INDEX(db_Names,1,$A66)&amp;"")</f>
        <v/>
      </c>
      <c r="C66" t="str">
        <f>IF($B66="","",INDEX(db_Groups,1,$A66)&amp;"")</f>
        <v/>
      </c>
      <c r="D66" s="130">
        <f t="array" ref="D66">IF($B66="",0,MAX(IF((db_Dates&gt;=c_LowDate)*(db_Dates&lt;=c_RefDate)*ISNUMBER(INDEX(db_Vals,0,$A66)),db_Dates,0)))</f>
        <v>0.0</v>
      </c>
      <c r="E66" t="str">
        <f>IF($D66=0,"",INDEX(db_Vals,MATCH($D66,db_Dates,0),$A66))</f>
        <v/>
      </c>
      <c r="F66" s="130">
        <f t="array" ref="F66">IF($E66="",0,MAX(IF((db_Dates&lt;$D66)*ISNUMBER(INDEX(db_Vals,0,$A66)),db_Dates,0)))</f>
        <v>0.0</v>
      </c>
      <c r="G66" t="str">
        <f>IF($F66=0,"",INDEX(db_Vals,MATCH($F66,db_Dates,0),$A66))</f>
        <v/>
      </c>
      <c r="H66" t="str">
        <f>IF(OR($E66="",$G66=""),"",ROUND(ROUND($E66,2)-ROUND($G66,2),2))</f>
        <v/>
      </c>
      <c r="I66">
        <f>IF($B66="",-1,IF($E66="",0,IF(ROUND($E66,2)&lt;=cfg_Green,1,IF(ROUND($E66,2)&lt;=cfg_Yellow,2,IF(ROUND($E66,2)&lt;=cfg_Limit,3,4)))))</f>
        <v>-1.0</v>
      </c>
      <c r="J66">
        <f>IF($B66="",-2-$A66/1000000,IF($E66="",-1-$A66/1000000,ROUND($E66,6)-$A66/100000000))</f>
        <v>-2.000021</v>
      </c>
      <c r="K66">
        <f>IF(OR($E66="",c_DataDate=""),0,IF($D66&lt;c_DataDate,1,0))</f>
        <v>0.0</v>
      </c>
    </row>
    <row r="67" spans="1:11">
      <c r="A67">
        <v>22</v>
      </c>
      <c r="B67" t="str">
        <f>IF($A67&gt;c_ObjCount,"",INDEX(db_Names,1,$A67)&amp;"")</f>
        <v/>
      </c>
      <c r="C67" t="str">
        <f>IF($B67="","",INDEX(db_Groups,1,$A67)&amp;"")</f>
        <v/>
      </c>
      <c r="D67" s="130">
        <f t="array" ref="D67">IF($B67="",0,MAX(IF((db_Dates&gt;=c_LowDate)*(db_Dates&lt;=c_RefDate)*ISNUMBER(INDEX(db_Vals,0,$A67)),db_Dates,0)))</f>
        <v>0.0</v>
      </c>
      <c r="E67" t="str">
        <f>IF($D67=0,"",INDEX(db_Vals,MATCH($D67,db_Dates,0),$A67))</f>
        <v/>
      </c>
      <c r="F67" s="130">
        <f t="array" ref="F67">IF($E67="",0,MAX(IF((db_Dates&lt;$D67)*ISNUMBER(INDEX(db_Vals,0,$A67)),db_Dates,0)))</f>
        <v>0.0</v>
      </c>
      <c r="G67" t="str">
        <f>IF($F67=0,"",INDEX(db_Vals,MATCH($F67,db_Dates,0),$A67))</f>
        <v/>
      </c>
      <c r="H67" t="str">
        <f>IF(OR($E67="",$G67=""),"",ROUND(ROUND($E67,2)-ROUND($G67,2),2))</f>
        <v/>
      </c>
      <c r="I67">
        <f>IF($B67="",-1,IF($E67="",0,IF(ROUND($E67,2)&lt;=cfg_Green,1,IF(ROUND($E67,2)&lt;=cfg_Yellow,2,IF(ROUND($E67,2)&lt;=cfg_Limit,3,4)))))</f>
        <v>-1.0</v>
      </c>
      <c r="J67">
        <f>IF($B67="",-2-$A67/1000000,IF($E67="",-1-$A67/1000000,ROUND($E67,6)-$A67/100000000))</f>
        <v>-2.000022</v>
      </c>
      <c r="K67">
        <f>IF(OR($E67="",c_DataDate=""),0,IF($D67&lt;c_DataDate,1,0))</f>
        <v>0.0</v>
      </c>
    </row>
    <row r="68" spans="1:11">
      <c r="A68">
        <v>23</v>
      </c>
      <c r="B68" t="str">
        <f>IF($A68&gt;c_ObjCount,"",INDEX(db_Names,1,$A68)&amp;"")</f>
        <v/>
      </c>
      <c r="C68" t="str">
        <f>IF($B68="","",INDEX(db_Groups,1,$A68)&amp;"")</f>
        <v/>
      </c>
      <c r="D68" s="130">
        <f t="array" ref="D68">IF($B68="",0,MAX(IF((db_Dates&gt;=c_LowDate)*(db_Dates&lt;=c_RefDate)*ISNUMBER(INDEX(db_Vals,0,$A68)),db_Dates,0)))</f>
        <v>0.0</v>
      </c>
      <c r="E68" t="str">
        <f>IF($D68=0,"",INDEX(db_Vals,MATCH($D68,db_Dates,0),$A68))</f>
        <v/>
      </c>
      <c r="F68" s="130">
        <f t="array" ref="F68">IF($E68="",0,MAX(IF((db_Dates&lt;$D68)*ISNUMBER(INDEX(db_Vals,0,$A68)),db_Dates,0)))</f>
        <v>0.0</v>
      </c>
      <c r="G68" t="str">
        <f>IF($F68=0,"",INDEX(db_Vals,MATCH($F68,db_Dates,0),$A68))</f>
        <v/>
      </c>
      <c r="H68" t="str">
        <f>IF(OR($E68="",$G68=""),"",ROUND(ROUND($E68,2)-ROUND($G68,2),2))</f>
        <v/>
      </c>
      <c r="I68">
        <f>IF($B68="",-1,IF($E68="",0,IF(ROUND($E68,2)&lt;=cfg_Green,1,IF(ROUND($E68,2)&lt;=cfg_Yellow,2,IF(ROUND($E68,2)&lt;=cfg_Limit,3,4)))))</f>
        <v>-1.0</v>
      </c>
      <c r="J68">
        <f>IF($B68="",-2-$A68/1000000,IF($E68="",-1-$A68/1000000,ROUND($E68,6)-$A68/100000000))</f>
        <v>-2.000023</v>
      </c>
      <c r="K68">
        <f>IF(OR($E68="",c_DataDate=""),0,IF($D68&lt;c_DataDate,1,0))</f>
        <v>0.0</v>
      </c>
    </row>
    <row r="69" spans="1:11">
      <c r="A69">
        <v>24</v>
      </c>
      <c r="B69" t="str">
        <f>IF($A69&gt;c_ObjCount,"",INDEX(db_Names,1,$A69)&amp;"")</f>
        <v/>
      </c>
      <c r="C69" t="str">
        <f>IF($B69="","",INDEX(db_Groups,1,$A69)&amp;"")</f>
        <v/>
      </c>
      <c r="D69" s="130">
        <f t="array" ref="D69">IF($B69="",0,MAX(IF((db_Dates&gt;=c_LowDate)*(db_Dates&lt;=c_RefDate)*ISNUMBER(INDEX(db_Vals,0,$A69)),db_Dates,0)))</f>
        <v>0.0</v>
      </c>
      <c r="E69" t="str">
        <f>IF($D69=0,"",INDEX(db_Vals,MATCH($D69,db_Dates,0),$A69))</f>
        <v/>
      </c>
      <c r="F69" s="130">
        <f t="array" ref="F69">IF($E69="",0,MAX(IF((db_Dates&lt;$D69)*ISNUMBER(INDEX(db_Vals,0,$A69)),db_Dates,0)))</f>
        <v>0.0</v>
      </c>
      <c r="G69" t="str">
        <f>IF($F69=0,"",INDEX(db_Vals,MATCH($F69,db_Dates,0),$A69))</f>
        <v/>
      </c>
      <c r="H69" t="str">
        <f>IF(OR($E69="",$G69=""),"",ROUND(ROUND($E69,2)-ROUND($G69,2),2))</f>
        <v/>
      </c>
      <c r="I69">
        <f>IF($B69="",-1,IF($E69="",0,IF(ROUND($E69,2)&lt;=cfg_Green,1,IF(ROUND($E69,2)&lt;=cfg_Yellow,2,IF(ROUND($E69,2)&lt;=cfg_Limit,3,4)))))</f>
        <v>-1.0</v>
      </c>
      <c r="J69">
        <f>IF($B69="",-2-$A69/1000000,IF($E69="",-1-$A69/1000000,ROUND($E69,6)-$A69/100000000))</f>
        <v>-2.000024</v>
      </c>
      <c r="K69">
        <f>IF(OR($E69="",c_DataDate=""),0,IF($D69&lt;c_DataDate,1,0))</f>
        <v>0.0</v>
      </c>
    </row>
    <row r="70" spans="1:11">
      <c r="A70">
        <v>25</v>
      </c>
      <c r="B70" t="str">
        <f>IF($A70&gt;c_ObjCount,"",INDEX(db_Names,1,$A70)&amp;"")</f>
        <v/>
      </c>
      <c r="C70" t="str">
        <f>IF($B70="","",INDEX(db_Groups,1,$A70)&amp;"")</f>
        <v/>
      </c>
      <c r="D70" s="130">
        <f t="array" ref="D70">IF($B70="",0,MAX(IF((db_Dates&gt;=c_LowDate)*(db_Dates&lt;=c_RefDate)*ISNUMBER(INDEX(db_Vals,0,$A70)),db_Dates,0)))</f>
        <v>0.0</v>
      </c>
      <c r="E70" t="str">
        <f>IF($D70=0,"",INDEX(db_Vals,MATCH($D70,db_Dates,0),$A70))</f>
        <v/>
      </c>
      <c r="F70" s="130">
        <f t="array" ref="F70">IF($E70="",0,MAX(IF((db_Dates&lt;$D70)*ISNUMBER(INDEX(db_Vals,0,$A70)),db_Dates,0)))</f>
        <v>0.0</v>
      </c>
      <c r="G70" t="str">
        <f>IF($F70=0,"",INDEX(db_Vals,MATCH($F70,db_Dates,0),$A70))</f>
        <v/>
      </c>
      <c r="H70" t="str">
        <f>IF(OR($E70="",$G70=""),"",ROUND(ROUND($E70,2)-ROUND($G70,2),2))</f>
        <v/>
      </c>
      <c r="I70">
        <f>IF($B70="",-1,IF($E70="",0,IF(ROUND($E70,2)&lt;=cfg_Green,1,IF(ROUND($E70,2)&lt;=cfg_Yellow,2,IF(ROUND($E70,2)&lt;=cfg_Limit,3,4)))))</f>
        <v>-1.0</v>
      </c>
      <c r="J70">
        <f>IF($B70="",-2-$A70/1000000,IF($E70="",-1-$A70/1000000,ROUND($E70,6)-$A70/100000000))</f>
        <v>-2.000025</v>
      </c>
      <c r="K70">
        <f>IF(OR($E70="",c_DataDate=""),0,IF($D70&lt;c_DataDate,1,0))</f>
        <v>0.0</v>
      </c>
    </row>
    <row r="71" spans="1:11">
      <c r="A71">
        <v>26</v>
      </c>
      <c r="B71" t="str">
        <f>IF($A71&gt;c_ObjCount,"",INDEX(db_Names,1,$A71)&amp;"")</f>
        <v/>
      </c>
      <c r="C71" t="str">
        <f>IF($B71="","",INDEX(db_Groups,1,$A71)&amp;"")</f>
        <v/>
      </c>
      <c r="D71" s="130">
        <f t="array" ref="D71">IF($B71="",0,MAX(IF((db_Dates&gt;=c_LowDate)*(db_Dates&lt;=c_RefDate)*ISNUMBER(INDEX(db_Vals,0,$A71)),db_Dates,0)))</f>
        <v>0.0</v>
      </c>
      <c r="E71" t="str">
        <f>IF($D71=0,"",INDEX(db_Vals,MATCH($D71,db_Dates,0),$A71))</f>
        <v/>
      </c>
      <c r="F71" s="130">
        <f t="array" ref="F71">IF($E71="",0,MAX(IF((db_Dates&lt;$D71)*ISNUMBER(INDEX(db_Vals,0,$A71)),db_Dates,0)))</f>
        <v>0.0</v>
      </c>
      <c r="G71" t="str">
        <f>IF($F71=0,"",INDEX(db_Vals,MATCH($F71,db_Dates,0),$A71))</f>
        <v/>
      </c>
      <c r="H71" t="str">
        <f>IF(OR($E71="",$G71=""),"",ROUND(ROUND($E71,2)-ROUND($G71,2),2))</f>
        <v/>
      </c>
      <c r="I71">
        <f>IF($B71="",-1,IF($E71="",0,IF(ROUND($E71,2)&lt;=cfg_Green,1,IF(ROUND($E71,2)&lt;=cfg_Yellow,2,IF(ROUND($E71,2)&lt;=cfg_Limit,3,4)))))</f>
        <v>-1.0</v>
      </c>
      <c r="J71">
        <f>IF($B71="",-2-$A71/1000000,IF($E71="",-1-$A71/1000000,ROUND($E71,6)-$A71/100000000))</f>
        <v>-2.000026</v>
      </c>
      <c r="K71">
        <f>IF(OR($E71="",c_DataDate=""),0,IF($D71&lt;c_DataDate,1,0))</f>
        <v>0.0</v>
      </c>
    </row>
    <row r="72" spans="1:11">
      <c r="A72">
        <v>27</v>
      </c>
      <c r="B72" t="str">
        <f>IF($A72&gt;c_ObjCount,"",INDEX(db_Names,1,$A72)&amp;"")</f>
        <v/>
      </c>
      <c r="C72" t="str">
        <f>IF($B72="","",INDEX(db_Groups,1,$A72)&amp;"")</f>
        <v/>
      </c>
      <c r="D72" s="130">
        <f t="array" ref="D72">IF($B72="",0,MAX(IF((db_Dates&gt;=c_LowDate)*(db_Dates&lt;=c_RefDate)*ISNUMBER(INDEX(db_Vals,0,$A72)),db_Dates,0)))</f>
        <v>0.0</v>
      </c>
      <c r="E72" t="str">
        <f>IF($D72=0,"",INDEX(db_Vals,MATCH($D72,db_Dates,0),$A72))</f>
        <v/>
      </c>
      <c r="F72" s="130">
        <f t="array" ref="F72">IF($E72="",0,MAX(IF((db_Dates&lt;$D72)*ISNUMBER(INDEX(db_Vals,0,$A72)),db_Dates,0)))</f>
        <v>0.0</v>
      </c>
      <c r="G72" t="str">
        <f>IF($F72=0,"",INDEX(db_Vals,MATCH($F72,db_Dates,0),$A72))</f>
        <v/>
      </c>
      <c r="H72" t="str">
        <f>IF(OR($E72="",$G72=""),"",ROUND(ROUND($E72,2)-ROUND($G72,2),2))</f>
        <v/>
      </c>
      <c r="I72">
        <f>IF($B72="",-1,IF($E72="",0,IF(ROUND($E72,2)&lt;=cfg_Green,1,IF(ROUND($E72,2)&lt;=cfg_Yellow,2,IF(ROUND($E72,2)&lt;=cfg_Limit,3,4)))))</f>
        <v>-1.0</v>
      </c>
      <c r="J72">
        <f>IF($B72="",-2-$A72/1000000,IF($E72="",-1-$A72/1000000,ROUND($E72,6)-$A72/100000000))</f>
        <v>-2.000027</v>
      </c>
      <c r="K72">
        <f>IF(OR($E72="",c_DataDate=""),0,IF($D72&lt;c_DataDate,1,0))</f>
        <v>0.0</v>
      </c>
    </row>
    <row r="73" spans="1:11">
      <c r="A73">
        <v>28</v>
      </c>
      <c r="B73" t="str">
        <f>IF($A73&gt;c_ObjCount,"",INDEX(db_Names,1,$A73)&amp;"")</f>
        <v/>
      </c>
      <c r="C73" t="str">
        <f>IF($B73="","",INDEX(db_Groups,1,$A73)&amp;"")</f>
        <v/>
      </c>
      <c r="D73" s="130">
        <f t="array" ref="D73">IF($B73="",0,MAX(IF((db_Dates&gt;=c_LowDate)*(db_Dates&lt;=c_RefDate)*ISNUMBER(INDEX(db_Vals,0,$A73)),db_Dates,0)))</f>
        <v>0.0</v>
      </c>
      <c r="E73" t="str">
        <f>IF($D73=0,"",INDEX(db_Vals,MATCH($D73,db_Dates,0),$A73))</f>
        <v/>
      </c>
      <c r="F73" s="130">
        <f t="array" ref="F73">IF($E73="",0,MAX(IF((db_Dates&lt;$D73)*ISNUMBER(INDEX(db_Vals,0,$A73)),db_Dates,0)))</f>
        <v>0.0</v>
      </c>
      <c r="G73" t="str">
        <f>IF($F73=0,"",INDEX(db_Vals,MATCH($F73,db_Dates,0),$A73))</f>
        <v/>
      </c>
      <c r="H73" t="str">
        <f>IF(OR($E73="",$G73=""),"",ROUND(ROUND($E73,2)-ROUND($G73,2),2))</f>
        <v/>
      </c>
      <c r="I73">
        <f>IF($B73="",-1,IF($E73="",0,IF(ROUND($E73,2)&lt;=cfg_Green,1,IF(ROUND($E73,2)&lt;=cfg_Yellow,2,IF(ROUND($E73,2)&lt;=cfg_Limit,3,4)))))</f>
        <v>-1.0</v>
      </c>
      <c r="J73">
        <f>IF($B73="",-2-$A73/1000000,IF($E73="",-1-$A73/1000000,ROUND($E73,6)-$A73/100000000))</f>
        <v>-2.000028</v>
      </c>
      <c r="K73">
        <f>IF(OR($E73="",c_DataDate=""),0,IF($D73&lt;c_DataDate,1,0))</f>
        <v>0.0</v>
      </c>
    </row>
    <row r="74" spans="1:11">
      <c r="A74">
        <v>29</v>
      </c>
      <c r="B74" t="str">
        <f>IF($A74&gt;c_ObjCount,"",INDEX(db_Names,1,$A74)&amp;"")</f>
        <v/>
      </c>
      <c r="C74" t="str">
        <f>IF($B74="","",INDEX(db_Groups,1,$A74)&amp;"")</f>
        <v/>
      </c>
      <c r="D74" s="130">
        <f t="array" ref="D74">IF($B74="",0,MAX(IF((db_Dates&gt;=c_LowDate)*(db_Dates&lt;=c_RefDate)*ISNUMBER(INDEX(db_Vals,0,$A74)),db_Dates,0)))</f>
        <v>0.0</v>
      </c>
      <c r="E74" t="str">
        <f>IF($D74=0,"",INDEX(db_Vals,MATCH($D74,db_Dates,0),$A74))</f>
        <v/>
      </c>
      <c r="F74" s="130">
        <f t="array" ref="F74">IF($E74="",0,MAX(IF((db_Dates&lt;$D74)*ISNUMBER(INDEX(db_Vals,0,$A74)),db_Dates,0)))</f>
        <v>0.0</v>
      </c>
      <c r="G74" t="str">
        <f>IF($F74=0,"",INDEX(db_Vals,MATCH($F74,db_Dates,0),$A74))</f>
        <v/>
      </c>
      <c r="H74" t="str">
        <f>IF(OR($E74="",$G74=""),"",ROUND(ROUND($E74,2)-ROUND($G74,2),2))</f>
        <v/>
      </c>
      <c r="I74">
        <f>IF($B74="",-1,IF($E74="",0,IF(ROUND($E74,2)&lt;=cfg_Green,1,IF(ROUND($E74,2)&lt;=cfg_Yellow,2,IF(ROUND($E74,2)&lt;=cfg_Limit,3,4)))))</f>
        <v>-1.0</v>
      </c>
      <c r="J74">
        <f>IF($B74="",-2-$A74/1000000,IF($E74="",-1-$A74/1000000,ROUND($E74,6)-$A74/100000000))</f>
        <v>-2.000029</v>
      </c>
      <c r="K74">
        <f>IF(OR($E74="",c_DataDate=""),0,IF($D74&lt;c_DataDate,1,0))</f>
        <v>0.0</v>
      </c>
    </row>
    <row r="75" spans="1:11">
      <c r="A75">
        <v>30</v>
      </c>
      <c r="B75" t="str">
        <f>IF($A75&gt;c_ObjCount,"",INDEX(db_Names,1,$A75)&amp;"")</f>
        <v/>
      </c>
      <c r="C75" t="str">
        <f>IF($B75="","",INDEX(db_Groups,1,$A75)&amp;"")</f>
        <v/>
      </c>
      <c r="D75" s="130">
        <f t="array" ref="D75">IF($B75="",0,MAX(IF((db_Dates&gt;=c_LowDate)*(db_Dates&lt;=c_RefDate)*ISNUMBER(INDEX(db_Vals,0,$A75)),db_Dates,0)))</f>
        <v>0.0</v>
      </c>
      <c r="E75" t="str">
        <f>IF($D75=0,"",INDEX(db_Vals,MATCH($D75,db_Dates,0),$A75))</f>
        <v/>
      </c>
      <c r="F75" s="130">
        <f t="array" ref="F75">IF($E75="",0,MAX(IF((db_Dates&lt;$D75)*ISNUMBER(INDEX(db_Vals,0,$A75)),db_Dates,0)))</f>
        <v>0.0</v>
      </c>
      <c r="G75" t="str">
        <f>IF($F75=0,"",INDEX(db_Vals,MATCH($F75,db_Dates,0),$A75))</f>
        <v/>
      </c>
      <c r="H75" t="str">
        <f>IF(OR($E75="",$G75=""),"",ROUND(ROUND($E75,2)-ROUND($G75,2),2))</f>
        <v/>
      </c>
      <c r="I75">
        <f>IF($B75="",-1,IF($E75="",0,IF(ROUND($E75,2)&lt;=cfg_Green,1,IF(ROUND($E75,2)&lt;=cfg_Yellow,2,IF(ROUND($E75,2)&lt;=cfg_Limit,3,4)))))</f>
        <v>-1.0</v>
      </c>
      <c r="J75">
        <f>IF($B75="",-2-$A75/1000000,IF($E75="",-1-$A75/1000000,ROUND($E75,6)-$A75/100000000))</f>
        <v>-2.00003</v>
      </c>
      <c r="K75">
        <f>IF(OR($E75="",c_DataDate=""),0,IF($D75&lt;c_DataDate,1,0))</f>
        <v>0.0</v>
      </c>
    </row>
    <row r="76" spans="1:11">
      <c r="A76">
        <v>31</v>
      </c>
      <c r="B76" t="str">
        <f>IF($A76&gt;c_ObjCount,"",INDEX(db_Names,1,$A76)&amp;"")</f>
        <v/>
      </c>
      <c r="C76" t="str">
        <f>IF($B76="","",INDEX(db_Groups,1,$A76)&amp;"")</f>
        <v/>
      </c>
      <c r="D76" s="130">
        <f t="array" ref="D76">IF($B76="",0,MAX(IF((db_Dates&gt;=c_LowDate)*(db_Dates&lt;=c_RefDate)*ISNUMBER(INDEX(db_Vals,0,$A76)),db_Dates,0)))</f>
        <v>0.0</v>
      </c>
      <c r="E76" t="str">
        <f>IF($D76=0,"",INDEX(db_Vals,MATCH($D76,db_Dates,0),$A76))</f>
        <v/>
      </c>
      <c r="F76" s="130">
        <f t="array" ref="F76">IF($E76="",0,MAX(IF((db_Dates&lt;$D76)*ISNUMBER(INDEX(db_Vals,0,$A76)),db_Dates,0)))</f>
        <v>0.0</v>
      </c>
      <c r="G76" t="str">
        <f>IF($F76=0,"",INDEX(db_Vals,MATCH($F76,db_Dates,0),$A76))</f>
        <v/>
      </c>
      <c r="H76" t="str">
        <f>IF(OR($E76="",$G76=""),"",ROUND(ROUND($E76,2)-ROUND($G76,2),2))</f>
        <v/>
      </c>
      <c r="I76">
        <f>IF($B76="",-1,IF($E76="",0,IF(ROUND($E76,2)&lt;=cfg_Green,1,IF(ROUND($E76,2)&lt;=cfg_Yellow,2,IF(ROUND($E76,2)&lt;=cfg_Limit,3,4)))))</f>
        <v>-1.0</v>
      </c>
      <c r="J76">
        <f>IF($B76="",-2-$A76/1000000,IF($E76="",-1-$A76/1000000,ROUND($E76,6)-$A76/100000000))</f>
        <v>-2.000031</v>
      </c>
      <c r="K76">
        <f>IF(OR($E76="",c_DataDate=""),0,IF($D76&lt;c_DataDate,1,0))</f>
        <v>0.0</v>
      </c>
    </row>
    <row r="77" spans="1:11">
      <c r="A77">
        <v>32</v>
      </c>
      <c r="B77" t="str">
        <f>IF($A77&gt;c_ObjCount,"",INDEX(db_Names,1,$A77)&amp;"")</f>
        <v/>
      </c>
      <c r="C77" t="str">
        <f>IF($B77="","",INDEX(db_Groups,1,$A77)&amp;"")</f>
        <v/>
      </c>
      <c r="D77" s="130">
        <f t="array" ref="D77">IF($B77="",0,MAX(IF((db_Dates&gt;=c_LowDate)*(db_Dates&lt;=c_RefDate)*ISNUMBER(INDEX(db_Vals,0,$A77)),db_Dates,0)))</f>
        <v>0.0</v>
      </c>
      <c r="E77" t="str">
        <f>IF($D77=0,"",INDEX(db_Vals,MATCH($D77,db_Dates,0),$A77))</f>
        <v/>
      </c>
      <c r="F77" s="130">
        <f t="array" ref="F77">IF($E77="",0,MAX(IF((db_Dates&lt;$D77)*ISNUMBER(INDEX(db_Vals,0,$A77)),db_Dates,0)))</f>
        <v>0.0</v>
      </c>
      <c r="G77" t="str">
        <f>IF($F77=0,"",INDEX(db_Vals,MATCH($F77,db_Dates,0),$A77))</f>
        <v/>
      </c>
      <c r="H77" t="str">
        <f>IF(OR($E77="",$G77=""),"",ROUND(ROUND($E77,2)-ROUND($G77,2),2))</f>
        <v/>
      </c>
      <c r="I77">
        <f>IF($B77="",-1,IF($E77="",0,IF(ROUND($E77,2)&lt;=cfg_Green,1,IF(ROUND($E77,2)&lt;=cfg_Yellow,2,IF(ROUND($E77,2)&lt;=cfg_Limit,3,4)))))</f>
        <v>-1.0</v>
      </c>
      <c r="J77">
        <f>IF($B77="",-2-$A77/1000000,IF($E77="",-1-$A77/1000000,ROUND($E77,6)-$A77/100000000))</f>
        <v>-2.000032</v>
      </c>
      <c r="K77">
        <f>IF(OR($E77="",c_DataDate=""),0,IF($D77&lt;c_DataDate,1,0))</f>
        <v>0.0</v>
      </c>
    </row>
    <row r="78" spans="1:11">
      <c r="A78">
        <v>33</v>
      </c>
      <c r="B78" t="str">
        <f>IF($A78&gt;c_ObjCount,"",INDEX(db_Names,1,$A78)&amp;"")</f>
        <v/>
      </c>
      <c r="C78" t="str">
        <f>IF($B78="","",INDEX(db_Groups,1,$A78)&amp;"")</f>
        <v/>
      </c>
      <c r="D78" s="130">
        <f t="array" ref="D78">IF($B78="",0,MAX(IF((db_Dates&gt;=c_LowDate)*(db_Dates&lt;=c_RefDate)*ISNUMBER(INDEX(db_Vals,0,$A78)),db_Dates,0)))</f>
        <v>0.0</v>
      </c>
      <c r="E78" t="str">
        <f>IF($D78=0,"",INDEX(db_Vals,MATCH($D78,db_Dates,0),$A78))</f>
        <v/>
      </c>
      <c r="F78" s="130">
        <f t="array" ref="F78">IF($E78="",0,MAX(IF((db_Dates&lt;$D78)*ISNUMBER(INDEX(db_Vals,0,$A78)),db_Dates,0)))</f>
        <v>0.0</v>
      </c>
      <c r="G78" t="str">
        <f>IF($F78=0,"",INDEX(db_Vals,MATCH($F78,db_Dates,0),$A78))</f>
        <v/>
      </c>
      <c r="H78" t="str">
        <f>IF(OR($E78="",$G78=""),"",ROUND(ROUND($E78,2)-ROUND($G78,2),2))</f>
        <v/>
      </c>
      <c r="I78">
        <f>IF($B78="",-1,IF($E78="",0,IF(ROUND($E78,2)&lt;=cfg_Green,1,IF(ROUND($E78,2)&lt;=cfg_Yellow,2,IF(ROUND($E78,2)&lt;=cfg_Limit,3,4)))))</f>
        <v>-1.0</v>
      </c>
      <c r="J78">
        <f>IF($B78="",-2-$A78/1000000,IF($E78="",-1-$A78/1000000,ROUND($E78,6)-$A78/100000000))</f>
        <v>-2.000033</v>
      </c>
      <c r="K78">
        <f>IF(OR($E78="",c_DataDate=""),0,IF($D78&lt;c_DataDate,1,0))</f>
        <v>0.0</v>
      </c>
    </row>
    <row r="79" spans="1:11">
      <c r="A79">
        <v>34</v>
      </c>
      <c r="B79" t="str">
        <f>IF($A79&gt;c_ObjCount,"",INDEX(db_Names,1,$A79)&amp;"")</f>
        <v/>
      </c>
      <c r="C79" t="str">
        <f>IF($B79="","",INDEX(db_Groups,1,$A79)&amp;"")</f>
        <v/>
      </c>
      <c r="D79" s="130">
        <f t="array" ref="D79">IF($B79="",0,MAX(IF((db_Dates&gt;=c_LowDate)*(db_Dates&lt;=c_RefDate)*ISNUMBER(INDEX(db_Vals,0,$A79)),db_Dates,0)))</f>
        <v>0.0</v>
      </c>
      <c r="E79" t="str">
        <f>IF($D79=0,"",INDEX(db_Vals,MATCH($D79,db_Dates,0),$A79))</f>
        <v/>
      </c>
      <c r="F79" s="130">
        <f t="array" ref="F79">IF($E79="",0,MAX(IF((db_Dates&lt;$D79)*ISNUMBER(INDEX(db_Vals,0,$A79)),db_Dates,0)))</f>
        <v>0.0</v>
      </c>
      <c r="G79" t="str">
        <f>IF($F79=0,"",INDEX(db_Vals,MATCH($F79,db_Dates,0),$A79))</f>
        <v/>
      </c>
      <c r="H79" t="str">
        <f>IF(OR($E79="",$G79=""),"",ROUND(ROUND($E79,2)-ROUND($G79,2),2))</f>
        <v/>
      </c>
      <c r="I79">
        <f>IF($B79="",-1,IF($E79="",0,IF(ROUND($E79,2)&lt;=cfg_Green,1,IF(ROUND($E79,2)&lt;=cfg_Yellow,2,IF(ROUND($E79,2)&lt;=cfg_Limit,3,4)))))</f>
        <v>-1.0</v>
      </c>
      <c r="J79">
        <f>IF($B79="",-2-$A79/1000000,IF($E79="",-1-$A79/1000000,ROUND($E79,6)-$A79/100000000))</f>
        <v>-2.000034</v>
      </c>
      <c r="K79">
        <f>IF(OR($E79="",c_DataDate=""),0,IF($D79&lt;c_DataDate,1,0))</f>
        <v>0.0</v>
      </c>
    </row>
    <row r="80" spans="1:11">
      <c r="A80">
        <v>35</v>
      </c>
      <c r="B80" t="str">
        <f>IF($A80&gt;c_ObjCount,"",INDEX(db_Names,1,$A80)&amp;"")</f>
        <v/>
      </c>
      <c r="C80" t="str">
        <f>IF($B80="","",INDEX(db_Groups,1,$A80)&amp;"")</f>
        <v/>
      </c>
      <c r="D80" s="130">
        <f t="array" ref="D80">IF($B80="",0,MAX(IF((db_Dates&gt;=c_LowDate)*(db_Dates&lt;=c_RefDate)*ISNUMBER(INDEX(db_Vals,0,$A80)),db_Dates,0)))</f>
        <v>0.0</v>
      </c>
      <c r="E80" t="str">
        <f>IF($D80=0,"",INDEX(db_Vals,MATCH($D80,db_Dates,0),$A80))</f>
        <v/>
      </c>
      <c r="F80" s="130">
        <f t="array" ref="F80">IF($E80="",0,MAX(IF((db_Dates&lt;$D80)*ISNUMBER(INDEX(db_Vals,0,$A80)),db_Dates,0)))</f>
        <v>0.0</v>
      </c>
      <c r="G80" t="str">
        <f>IF($F80=0,"",INDEX(db_Vals,MATCH($F80,db_Dates,0),$A80))</f>
        <v/>
      </c>
      <c r="H80" t="str">
        <f>IF(OR($E80="",$G80=""),"",ROUND(ROUND($E80,2)-ROUND($G80,2),2))</f>
        <v/>
      </c>
      <c r="I80">
        <f>IF($B80="",-1,IF($E80="",0,IF(ROUND($E80,2)&lt;=cfg_Green,1,IF(ROUND($E80,2)&lt;=cfg_Yellow,2,IF(ROUND($E80,2)&lt;=cfg_Limit,3,4)))))</f>
        <v>-1.0</v>
      </c>
      <c r="J80">
        <f>IF($B80="",-2-$A80/1000000,IF($E80="",-1-$A80/1000000,ROUND($E80,6)-$A80/100000000))</f>
        <v>-2.000035</v>
      </c>
      <c r="K80">
        <f>IF(OR($E80="",c_DataDate=""),0,IF($D80&lt;c_DataDate,1,0))</f>
        <v>0.0</v>
      </c>
    </row>
    <row r="81" spans="1:42">
      <c r="A81">
        <v>36</v>
      </c>
      <c r="B81" t="str">
        <f>IF($A81&gt;c_ObjCount,"",INDEX(db_Names,1,$A81)&amp;"")</f>
        <v/>
      </c>
      <c r="C81" t="str">
        <f>IF($B81="","",INDEX(db_Groups,1,$A81)&amp;"")</f>
        <v/>
      </c>
      <c r="D81" s="130">
        <f t="array" ref="D81">IF($B81="",0,MAX(IF((db_Dates&gt;=c_LowDate)*(db_Dates&lt;=c_RefDate)*ISNUMBER(INDEX(db_Vals,0,$A81)),db_Dates,0)))</f>
        <v>0.0</v>
      </c>
      <c r="E81" t="str">
        <f>IF($D81=0,"",INDEX(db_Vals,MATCH($D81,db_Dates,0),$A81))</f>
        <v/>
      </c>
      <c r="F81" s="130">
        <f t="array" ref="F81">IF($E81="",0,MAX(IF((db_Dates&lt;$D81)*ISNUMBER(INDEX(db_Vals,0,$A81)),db_Dates,0)))</f>
        <v>0.0</v>
      </c>
      <c r="G81" t="str">
        <f>IF($F81=0,"",INDEX(db_Vals,MATCH($F81,db_Dates,0),$A81))</f>
        <v/>
      </c>
      <c r="H81" t="str">
        <f>IF(OR($E81="",$G81=""),"",ROUND(ROUND($E81,2)-ROUND($G81,2),2))</f>
        <v/>
      </c>
      <c r="I81">
        <f>IF($B81="",-1,IF($E81="",0,IF(ROUND($E81,2)&lt;=cfg_Green,1,IF(ROUND($E81,2)&lt;=cfg_Yellow,2,IF(ROUND($E81,2)&lt;=cfg_Limit,3,4)))))</f>
        <v>-1.0</v>
      </c>
      <c r="J81">
        <f>IF($B81="",-2-$A81/1000000,IF($E81="",-1-$A81/1000000,ROUND($E81,6)-$A81/100000000))</f>
        <v>-2.000036</v>
      </c>
      <c r="K81">
        <f>IF(OR($E81="",c_DataDate=""),0,IF($D81&lt;c_DataDate,1,0))</f>
        <v>0.0</v>
      </c>
    </row>
    <row r="82" spans="1:42">
      <c r="A82">
        <v>37</v>
      </c>
      <c r="B82" t="str">
        <f>IF($A82&gt;c_ObjCount,"",INDEX(db_Names,1,$A82)&amp;"")</f>
        <v/>
      </c>
      <c r="C82" t="str">
        <f>IF($B82="","",INDEX(db_Groups,1,$A82)&amp;"")</f>
        <v/>
      </c>
      <c r="D82" s="130">
        <f t="array" ref="D82">IF($B82="",0,MAX(IF((db_Dates&gt;=c_LowDate)*(db_Dates&lt;=c_RefDate)*ISNUMBER(INDEX(db_Vals,0,$A82)),db_Dates,0)))</f>
        <v>0.0</v>
      </c>
      <c r="E82" t="str">
        <f>IF($D82=0,"",INDEX(db_Vals,MATCH($D82,db_Dates,0),$A82))</f>
        <v/>
      </c>
      <c r="F82" s="130">
        <f t="array" ref="F82">IF($E82="",0,MAX(IF((db_Dates&lt;$D82)*ISNUMBER(INDEX(db_Vals,0,$A82)),db_Dates,0)))</f>
        <v>0.0</v>
      </c>
      <c r="G82" t="str">
        <f>IF($F82=0,"",INDEX(db_Vals,MATCH($F82,db_Dates,0),$A82))</f>
        <v/>
      </c>
      <c r="H82" t="str">
        <f>IF(OR($E82="",$G82=""),"",ROUND(ROUND($E82,2)-ROUND($G82,2),2))</f>
        <v/>
      </c>
      <c r="I82">
        <f>IF($B82="",-1,IF($E82="",0,IF(ROUND($E82,2)&lt;=cfg_Green,1,IF(ROUND($E82,2)&lt;=cfg_Yellow,2,IF(ROUND($E82,2)&lt;=cfg_Limit,3,4)))))</f>
        <v>-1.0</v>
      </c>
      <c r="J82">
        <f>IF($B82="",-2-$A82/1000000,IF($E82="",-1-$A82/1000000,ROUND($E82,6)-$A82/100000000))</f>
        <v>-2.000037</v>
      </c>
      <c r="K82">
        <f>IF(OR($E82="",c_DataDate=""),0,IF($D82&lt;c_DataDate,1,0))</f>
        <v>0.0</v>
      </c>
    </row>
    <row r="83" spans="1:42">
      <c r="A83">
        <v>38</v>
      </c>
      <c r="B83" t="str">
        <f>IF($A83&gt;c_ObjCount,"",INDEX(db_Names,1,$A83)&amp;"")</f>
        <v/>
      </c>
      <c r="C83" t="str">
        <f>IF($B83="","",INDEX(db_Groups,1,$A83)&amp;"")</f>
        <v/>
      </c>
      <c r="D83" s="130">
        <f t="array" ref="D83">IF($B83="",0,MAX(IF((db_Dates&gt;=c_LowDate)*(db_Dates&lt;=c_RefDate)*ISNUMBER(INDEX(db_Vals,0,$A83)),db_Dates,0)))</f>
        <v>0.0</v>
      </c>
      <c r="E83" t="str">
        <f>IF($D83=0,"",INDEX(db_Vals,MATCH($D83,db_Dates,0),$A83))</f>
        <v/>
      </c>
      <c r="F83" s="130">
        <f t="array" ref="F83">IF($E83="",0,MAX(IF((db_Dates&lt;$D83)*ISNUMBER(INDEX(db_Vals,0,$A83)),db_Dates,0)))</f>
        <v>0.0</v>
      </c>
      <c r="G83" t="str">
        <f>IF($F83=0,"",INDEX(db_Vals,MATCH($F83,db_Dates,0),$A83))</f>
        <v/>
      </c>
      <c r="H83" t="str">
        <f>IF(OR($E83="",$G83=""),"",ROUND(ROUND($E83,2)-ROUND($G83,2),2))</f>
        <v/>
      </c>
      <c r="I83">
        <f>IF($B83="",-1,IF($E83="",0,IF(ROUND($E83,2)&lt;=cfg_Green,1,IF(ROUND($E83,2)&lt;=cfg_Yellow,2,IF(ROUND($E83,2)&lt;=cfg_Limit,3,4)))))</f>
        <v>-1.0</v>
      </c>
      <c r="J83">
        <f>IF($B83="",-2-$A83/1000000,IF($E83="",-1-$A83/1000000,ROUND($E83,6)-$A83/100000000))</f>
        <v>-2.000038</v>
      </c>
      <c r="K83">
        <f>IF(OR($E83="",c_DataDate=""),0,IF($D83&lt;c_DataDate,1,0))</f>
        <v>0.0</v>
      </c>
    </row>
    <row r="84" spans="1:42">
      <c r="A84">
        <v>39</v>
      </c>
      <c r="B84" t="str">
        <f>IF($A84&gt;c_ObjCount,"",INDEX(db_Names,1,$A84)&amp;"")</f>
        <v/>
      </c>
      <c r="C84" t="str">
        <f>IF($B84="","",INDEX(db_Groups,1,$A84)&amp;"")</f>
        <v/>
      </c>
      <c r="D84" s="130">
        <f t="array" ref="D84">IF($B84="",0,MAX(IF((db_Dates&gt;=c_LowDate)*(db_Dates&lt;=c_RefDate)*ISNUMBER(INDEX(db_Vals,0,$A84)),db_Dates,0)))</f>
        <v>0.0</v>
      </c>
      <c r="E84" t="str">
        <f>IF($D84=0,"",INDEX(db_Vals,MATCH($D84,db_Dates,0),$A84))</f>
        <v/>
      </c>
      <c r="F84" s="130">
        <f t="array" ref="F84">IF($E84="",0,MAX(IF((db_Dates&lt;$D84)*ISNUMBER(INDEX(db_Vals,0,$A84)),db_Dates,0)))</f>
        <v>0.0</v>
      </c>
      <c r="G84" t="str">
        <f>IF($F84=0,"",INDEX(db_Vals,MATCH($F84,db_Dates,0),$A84))</f>
        <v/>
      </c>
      <c r="H84" t="str">
        <f>IF(OR($E84="",$G84=""),"",ROUND(ROUND($E84,2)-ROUND($G84,2),2))</f>
        <v/>
      </c>
      <c r="I84">
        <f>IF($B84="",-1,IF($E84="",0,IF(ROUND($E84,2)&lt;=cfg_Green,1,IF(ROUND($E84,2)&lt;=cfg_Yellow,2,IF(ROUND($E84,2)&lt;=cfg_Limit,3,4)))))</f>
        <v>-1.0</v>
      </c>
      <c r="J84">
        <f>IF($B84="",-2-$A84/1000000,IF($E84="",-1-$A84/1000000,ROUND($E84,6)-$A84/100000000))</f>
        <v>-2.000039</v>
      </c>
      <c r="K84">
        <f>IF(OR($E84="",c_DataDate=""),0,IF($D84&lt;c_DataDate,1,0))</f>
        <v>0.0</v>
      </c>
    </row>
    <row r="85" spans="1:42">
      <c r="A85">
        <v>40</v>
      </c>
      <c r="B85" t="str">
        <f>IF($A85&gt;c_ObjCount,"",INDEX(db_Names,1,$A85)&amp;"")</f>
        <v/>
      </c>
      <c r="C85" t="str">
        <f>IF($B85="","",INDEX(db_Groups,1,$A85)&amp;"")</f>
        <v/>
      </c>
      <c r="D85" s="130">
        <f t="array" ref="D85">IF($B85="",0,MAX(IF((db_Dates&gt;=c_LowDate)*(db_Dates&lt;=c_RefDate)*ISNUMBER(INDEX(db_Vals,0,$A85)),db_Dates,0)))</f>
        <v>0.0</v>
      </c>
      <c r="E85" t="str">
        <f>IF($D85=0,"",INDEX(db_Vals,MATCH($D85,db_Dates,0),$A85))</f>
        <v/>
      </c>
      <c r="F85" s="130">
        <f t="array" ref="F85">IF($E85="",0,MAX(IF((db_Dates&lt;$D85)*ISNUMBER(INDEX(db_Vals,0,$A85)),db_Dates,0)))</f>
        <v>0.0</v>
      </c>
      <c r="G85" t="str">
        <f>IF($F85=0,"",INDEX(db_Vals,MATCH($F85,db_Dates,0),$A85))</f>
        <v/>
      </c>
      <c r="H85" t="str">
        <f>IF(OR($E85="",$G85=""),"",ROUND(ROUND($E85,2)-ROUND($G85,2),2))</f>
        <v/>
      </c>
      <c r="I85">
        <f>IF($B85="",-1,IF($E85="",0,IF(ROUND($E85,2)&lt;=cfg_Green,1,IF(ROUND($E85,2)&lt;=cfg_Yellow,2,IF(ROUND($E85,2)&lt;=cfg_Limit,3,4)))))</f>
        <v>-1.0</v>
      </c>
      <c r="J85">
        <f>IF($B85="",-2-$A85/1000000,IF($E85="",-1-$A85/1000000,ROUND($E85,6)-$A85/100000000))</f>
        <v>-2.00004</v>
      </c>
      <c r="K85">
        <f>IF(OR($E85="",c_DataDate=""),0,IF($D85&lt;c_DataDate,1,0))</f>
        <v>0.0</v>
      </c>
    </row>
    <row r="90" spans="1:42">
      <c r="A90" s="129" t="s">
        <v>53</v>
      </c>
      <c r="B90" s="129" t="s">
        <v>54</v>
      </c>
      <c r="C90" s="129" t="s">
        <v>44</v>
      </c>
      <c r="D90" s="129" t="s">
        <v>47</v>
      </c>
      <c r="E90" s="129" t="s">
        <v>36</v>
      </c>
      <c r="F90" s="129" t="s">
        <v>50</v>
      </c>
      <c r="G90" s="129" t="s">
        <v>52</v>
      </c>
      <c r="H90" s="129" t="s">
        <v>46</v>
      </c>
      <c r="K90" s="129" t="s">
        <v>55</v>
      </c>
      <c r="L90">
        <v>1</v>
      </c>
      <c r="M90">
        <v>2</v>
      </c>
      <c r="N90">
        <v>3</v>
      </c>
      <c r="O90">
        <v>4</v>
      </c>
      <c r="P90">
        <v>5</v>
      </c>
      <c r="Q90">
        <v>6</v>
      </c>
      <c r="R90">
        <v>7</v>
      </c>
      <c r="S90">
        <v>8</v>
      </c>
      <c r="T90">
        <v>9</v>
      </c>
      <c r="U90">
        <v>10</v>
      </c>
      <c r="V90">
        <v>11</v>
      </c>
      <c r="W90">
        <v>12</v>
      </c>
      <c r="X90">
        <v>13</v>
      </c>
      <c r="Y90">
        <v>14</v>
      </c>
      <c r="Z90">
        <v>15</v>
      </c>
      <c r="AA90">
        <v>16</v>
      </c>
      <c r="AB90">
        <v>17</v>
      </c>
      <c r="AC90">
        <v>18</v>
      </c>
      <c r="AD90">
        <v>19</v>
      </c>
      <c r="AE90">
        <v>20</v>
      </c>
      <c r="AF90">
        <v>21</v>
      </c>
      <c r="AG90">
        <v>22</v>
      </c>
      <c r="AH90">
        <v>23</v>
      </c>
      <c r="AI90">
        <v>24</v>
      </c>
      <c r="AJ90">
        <v>25</v>
      </c>
      <c r="AK90">
        <v>26</v>
      </c>
      <c r="AL90">
        <v>27</v>
      </c>
      <c r="AM90">
        <v>28</v>
      </c>
      <c r="AN90">
        <v>29</v>
      </c>
      <c r="AO90">
        <v>30</v>
      </c>
      <c r="AP90">
        <v>31</v>
      </c>
    </row>
    <row r="91" spans="1:42">
      <c r="K91" s="129" t="s">
        <v>56</v>
      </c>
      <c r="L91" s="135">
        <f>IF(L$90&lt;=DAY(c_MonthEnd),c_MonthStart+L$90-1,"")</f>
        <v>46296.0</v>
      </c>
      <c r="M91" s="135">
        <f>IF(M$90&lt;=DAY(c_MonthEnd),c_MonthStart+M$90-1,"")</f>
        <v>46297.0</v>
      </c>
      <c r="N91" s="135">
        <f>IF(N$90&lt;=DAY(c_MonthEnd),c_MonthStart+N$90-1,"")</f>
        <v>46298.0</v>
      </c>
      <c r="O91" s="135">
        <f>IF(O$90&lt;=DAY(c_MonthEnd),c_MonthStart+O$90-1,"")</f>
        <v>46299.0</v>
      </c>
      <c r="P91" s="135">
        <f>IF(P$90&lt;=DAY(c_MonthEnd),c_MonthStart+P$90-1,"")</f>
        <v>46300.0</v>
      </c>
      <c r="Q91" s="135">
        <f>IF(Q$90&lt;=DAY(c_MonthEnd),c_MonthStart+Q$90-1,"")</f>
        <v>46301.0</v>
      </c>
      <c r="R91" s="135">
        <f>IF(R$90&lt;=DAY(c_MonthEnd),c_MonthStart+R$90-1,"")</f>
        <v>46302.0</v>
      </c>
      <c r="S91" s="135">
        <f>IF(S$90&lt;=DAY(c_MonthEnd),c_MonthStart+S$90-1,"")</f>
        <v>46303.0</v>
      </c>
      <c r="T91" s="135">
        <f>IF(T$90&lt;=DAY(c_MonthEnd),c_MonthStart+T$90-1,"")</f>
        <v>46304.0</v>
      </c>
      <c r="U91" s="135">
        <f>IF(U$90&lt;=DAY(c_MonthEnd),c_MonthStart+U$90-1,"")</f>
        <v>46305.0</v>
      </c>
      <c r="V91" s="135">
        <f>IF(V$90&lt;=DAY(c_MonthEnd),c_MonthStart+V$90-1,"")</f>
        <v>46306.0</v>
      </c>
      <c r="W91" s="135">
        <f>IF(W$90&lt;=DAY(c_MonthEnd),c_MonthStart+W$90-1,"")</f>
        <v>46307.0</v>
      </c>
      <c r="X91" s="135">
        <f>IF(X$90&lt;=DAY(c_MonthEnd),c_MonthStart+X$90-1,"")</f>
        <v>46308.0</v>
      </c>
      <c r="Y91" s="135">
        <f>IF(Y$90&lt;=DAY(c_MonthEnd),c_MonthStart+Y$90-1,"")</f>
        <v>46309.0</v>
      </c>
      <c r="Z91" s="135">
        <f>IF(Z$90&lt;=DAY(c_MonthEnd),c_MonthStart+Z$90-1,"")</f>
        <v>46310.0</v>
      </c>
      <c r="AA91" s="135">
        <f>IF(AA$90&lt;=DAY(c_MonthEnd),c_MonthStart+AA$90-1,"")</f>
        <v>46311.0</v>
      </c>
      <c r="AB91" s="135">
        <f>IF(AB$90&lt;=DAY(c_MonthEnd),c_MonthStart+AB$90-1,"")</f>
        <v>46312.0</v>
      </c>
      <c r="AC91" s="135">
        <f>IF(AC$90&lt;=DAY(c_MonthEnd),c_MonthStart+AC$90-1,"")</f>
        <v>46313.0</v>
      </c>
      <c r="AD91" s="135">
        <f>IF(AD$90&lt;=DAY(c_MonthEnd),c_MonthStart+AD$90-1,"")</f>
        <v>46314.0</v>
      </c>
      <c r="AE91" s="135">
        <f>IF(AE$90&lt;=DAY(c_MonthEnd),c_MonthStart+AE$90-1,"")</f>
        <v>46315.0</v>
      </c>
      <c r="AF91" s="135">
        <f>IF(AF$90&lt;=DAY(c_MonthEnd),c_MonthStart+AF$90-1,"")</f>
        <v>46316.0</v>
      </c>
      <c r="AG91" s="135">
        <f>IF(AG$90&lt;=DAY(c_MonthEnd),c_MonthStart+AG$90-1,"")</f>
        <v>46317.0</v>
      </c>
      <c r="AH91" s="135">
        <f>IF(AH$90&lt;=DAY(c_MonthEnd),c_MonthStart+AH$90-1,"")</f>
        <v>46318.0</v>
      </c>
      <c r="AI91" s="135">
        <f>IF(AI$90&lt;=DAY(c_MonthEnd),c_MonthStart+AI$90-1,"")</f>
        <v>46319.0</v>
      </c>
      <c r="AJ91" s="135">
        <f>IF(AJ$90&lt;=DAY(c_MonthEnd),c_MonthStart+AJ$90-1,"")</f>
        <v>46320.0</v>
      </c>
      <c r="AK91" s="135">
        <f>IF(AK$90&lt;=DAY(c_MonthEnd),c_MonthStart+AK$90-1,"")</f>
        <v>46321.0</v>
      </c>
      <c r="AL91" s="135">
        <f>IF(AL$90&lt;=DAY(c_MonthEnd),c_MonthStart+AL$90-1,"")</f>
        <v>46322.0</v>
      </c>
      <c r="AM91" s="135">
        <f>IF(AM$90&lt;=DAY(c_MonthEnd),c_MonthStart+AM$90-1,"")</f>
        <v>46323.0</v>
      </c>
      <c r="AN91" s="135">
        <f>IF(AN$90&lt;=DAY(c_MonthEnd),c_MonthStart+AN$90-1,"")</f>
        <v>46324.0</v>
      </c>
      <c r="AO91" s="135">
        <f>IF(AO$90&lt;=DAY(c_MonthEnd),c_MonthStart+AO$90-1,"")</f>
        <v>46325.0</v>
      </c>
      <c r="AP91" s="135">
        <f>IF(AP$90&lt;=DAY(c_MonthEnd),c_MonthStart+AP$90-1,"")</f>
        <v>46326.0</v>
      </c>
    </row>
    <row r="92" spans="1:42">
      <c r="A92">
        <v>1</v>
      </c>
      <c r="B92">
        <f>MATCH(LARGE($J$46:$J$85,$A92),$J$46:$J$85,0)</f>
        <v>1.0</v>
      </c>
      <c r="C92" t="str">
        <f>INDEX($B$46:$B$85,$B92)</f>
        <v/>
      </c>
      <c r="D92" t="str">
        <f>INDEX($E$46:$E$85,$B92)</f>
        <v/>
      </c>
      <c r="E92">
        <f>INDEX($I$46:$I$85,$B92)</f>
        <v>-1.0</v>
      </c>
      <c r="F92" t="str">
        <f>INDEX($H$46:$H$85,$B92)</f>
        <v/>
      </c>
      <c r="G92">
        <f>INDEX($K$46:$K$85,$B92)</f>
        <v>0.0</v>
      </c>
      <c r="H92" s="130">
        <f>INDEX($D$46:$D$85,$B92)</f>
        <v>0.0</v>
      </c>
      <c r="L92" t="e">
        <f>IFERROR(IF(OR($C92="",L$91="",L$91&gt;c_RefDate),NA(),IF(ISNUMBER(INDEX(db_Vals,MATCH(L$91,db_Dates,0),$B92)),INDEX(db_Vals,MATCH(L$91,db_Dates,0),$B92),NA())),NA())</f>
        <v>#N/A</v>
      </c>
      <c r="M92" t="e">
        <f>IFERROR(IF(OR($C92="",M$91="",M$91&gt;c_RefDate),NA(),IF(ISNUMBER(INDEX(db_Vals,MATCH(M$91,db_Dates,0),$B92)),INDEX(db_Vals,MATCH(M$91,db_Dates,0),$B92),NA())),NA())</f>
        <v>#N/A</v>
      </c>
      <c r="N92" t="e">
        <f>IFERROR(IF(OR($C92="",N$91="",N$91&gt;c_RefDate),NA(),IF(ISNUMBER(INDEX(db_Vals,MATCH(N$91,db_Dates,0),$B92)),INDEX(db_Vals,MATCH(N$91,db_Dates,0),$B92),NA())),NA())</f>
        <v>#N/A</v>
      </c>
      <c r="O92" t="e">
        <f>IFERROR(IF(OR($C92="",O$91="",O$91&gt;c_RefDate),NA(),IF(ISNUMBER(INDEX(db_Vals,MATCH(O$91,db_Dates,0),$B92)),INDEX(db_Vals,MATCH(O$91,db_Dates,0),$B92),NA())),NA())</f>
        <v>#N/A</v>
      </c>
      <c r="P92" t="e">
        <f>IFERROR(IF(OR($C92="",P$91="",P$91&gt;c_RefDate),NA(),IF(ISNUMBER(INDEX(db_Vals,MATCH(P$91,db_Dates,0),$B92)),INDEX(db_Vals,MATCH(P$91,db_Dates,0),$B92),NA())),NA())</f>
        <v>#N/A</v>
      </c>
      <c r="Q92" t="e">
        <f>IFERROR(IF(OR($C92="",Q$91="",Q$91&gt;c_RefDate),NA(),IF(ISNUMBER(INDEX(db_Vals,MATCH(Q$91,db_Dates,0),$B92)),INDEX(db_Vals,MATCH(Q$91,db_Dates,0),$B92),NA())),NA())</f>
        <v>#N/A</v>
      </c>
      <c r="R92" t="e">
        <f>IFERROR(IF(OR($C92="",R$91="",R$91&gt;c_RefDate),NA(),IF(ISNUMBER(INDEX(db_Vals,MATCH(R$91,db_Dates,0),$B92)),INDEX(db_Vals,MATCH(R$91,db_Dates,0),$B92),NA())),NA())</f>
        <v>#N/A</v>
      </c>
      <c r="S92" t="e">
        <f>IFERROR(IF(OR($C92="",S$91="",S$91&gt;c_RefDate),NA(),IF(ISNUMBER(INDEX(db_Vals,MATCH(S$91,db_Dates,0),$B92)),INDEX(db_Vals,MATCH(S$91,db_Dates,0),$B92),NA())),NA())</f>
        <v>#N/A</v>
      </c>
      <c r="T92" t="e">
        <f>IFERROR(IF(OR($C92="",T$91="",T$91&gt;c_RefDate),NA(),IF(ISNUMBER(INDEX(db_Vals,MATCH(T$91,db_Dates,0),$B92)),INDEX(db_Vals,MATCH(T$91,db_Dates,0),$B92),NA())),NA())</f>
        <v>#N/A</v>
      </c>
      <c r="U92" t="e">
        <f>IFERROR(IF(OR($C92="",U$91="",U$91&gt;c_RefDate),NA(),IF(ISNUMBER(INDEX(db_Vals,MATCH(U$91,db_Dates,0),$B92)),INDEX(db_Vals,MATCH(U$91,db_Dates,0),$B92),NA())),NA())</f>
        <v>#N/A</v>
      </c>
      <c r="V92" t="e">
        <f>IFERROR(IF(OR($C92="",V$91="",V$91&gt;c_RefDate),NA(),IF(ISNUMBER(INDEX(db_Vals,MATCH(V$91,db_Dates,0),$B92)),INDEX(db_Vals,MATCH(V$91,db_Dates,0),$B92),NA())),NA())</f>
        <v>#N/A</v>
      </c>
      <c r="W92" t="e">
        <f>IFERROR(IF(OR($C92="",W$91="",W$91&gt;c_RefDate),NA(),IF(ISNUMBER(INDEX(db_Vals,MATCH(W$91,db_Dates,0),$B92)),INDEX(db_Vals,MATCH(W$91,db_Dates,0),$B92),NA())),NA())</f>
        <v>#N/A</v>
      </c>
      <c r="X92" t="e">
        <f>IFERROR(IF(OR($C92="",X$91="",X$91&gt;c_RefDate),NA(),IF(ISNUMBER(INDEX(db_Vals,MATCH(X$91,db_Dates,0),$B92)),INDEX(db_Vals,MATCH(X$91,db_Dates,0),$B92),NA())),NA())</f>
        <v>#N/A</v>
      </c>
      <c r="Y92" t="e">
        <f>IFERROR(IF(OR($C92="",Y$91="",Y$91&gt;c_RefDate),NA(),IF(ISNUMBER(INDEX(db_Vals,MATCH(Y$91,db_Dates,0),$B92)),INDEX(db_Vals,MATCH(Y$91,db_Dates,0),$B92),NA())),NA())</f>
        <v>#N/A</v>
      </c>
      <c r="Z92" t="e">
        <f>IFERROR(IF(OR($C92="",Z$91="",Z$91&gt;c_RefDate),NA(),IF(ISNUMBER(INDEX(db_Vals,MATCH(Z$91,db_Dates,0),$B92)),INDEX(db_Vals,MATCH(Z$91,db_Dates,0),$B92),NA())),NA())</f>
        <v>#N/A</v>
      </c>
      <c r="AA92" t="e">
        <f>IFERROR(IF(OR($C92="",AA$91="",AA$91&gt;c_RefDate),NA(),IF(ISNUMBER(INDEX(db_Vals,MATCH(AA$91,db_Dates,0),$B92)),INDEX(db_Vals,MATCH(AA$91,db_Dates,0),$B92),NA())),NA())</f>
        <v>#N/A</v>
      </c>
      <c r="AB92" t="e">
        <f>IFERROR(IF(OR($C92="",AB$91="",AB$91&gt;c_RefDate),NA(),IF(ISNUMBER(INDEX(db_Vals,MATCH(AB$91,db_Dates,0),$B92)),INDEX(db_Vals,MATCH(AB$91,db_Dates,0),$B92),NA())),NA())</f>
        <v>#N/A</v>
      </c>
      <c r="AC92" t="e">
        <f>IFERROR(IF(OR($C92="",AC$91="",AC$91&gt;c_RefDate),NA(),IF(ISNUMBER(INDEX(db_Vals,MATCH(AC$91,db_Dates,0),$B92)),INDEX(db_Vals,MATCH(AC$91,db_Dates,0),$B92),NA())),NA())</f>
        <v>#N/A</v>
      </c>
      <c r="AD92" t="e">
        <f>IFERROR(IF(OR($C92="",AD$91="",AD$91&gt;c_RefDate),NA(),IF(ISNUMBER(INDEX(db_Vals,MATCH(AD$91,db_Dates,0),$B92)),INDEX(db_Vals,MATCH(AD$91,db_Dates,0),$B92),NA())),NA())</f>
        <v>#N/A</v>
      </c>
      <c r="AE92" t="e">
        <f>IFERROR(IF(OR($C92="",AE$91="",AE$91&gt;c_RefDate),NA(),IF(ISNUMBER(INDEX(db_Vals,MATCH(AE$91,db_Dates,0),$B92)),INDEX(db_Vals,MATCH(AE$91,db_Dates,0),$B92),NA())),NA())</f>
        <v>#N/A</v>
      </c>
      <c r="AF92" t="e">
        <f>IFERROR(IF(OR($C92="",AF$91="",AF$91&gt;c_RefDate),NA(),IF(ISNUMBER(INDEX(db_Vals,MATCH(AF$91,db_Dates,0),$B92)),INDEX(db_Vals,MATCH(AF$91,db_Dates,0),$B92),NA())),NA())</f>
        <v>#N/A</v>
      </c>
      <c r="AG92" t="e">
        <f>IFERROR(IF(OR($C92="",AG$91="",AG$91&gt;c_RefDate),NA(),IF(ISNUMBER(INDEX(db_Vals,MATCH(AG$91,db_Dates,0),$B92)),INDEX(db_Vals,MATCH(AG$91,db_Dates,0),$B92),NA())),NA())</f>
        <v>#N/A</v>
      </c>
      <c r="AH92" t="e">
        <f>IFERROR(IF(OR($C92="",AH$91="",AH$91&gt;c_RefDate),NA(),IF(ISNUMBER(INDEX(db_Vals,MATCH(AH$91,db_Dates,0),$B92)),INDEX(db_Vals,MATCH(AH$91,db_Dates,0),$B92),NA())),NA())</f>
        <v>#N/A</v>
      </c>
      <c r="AI92" t="e">
        <f>IFERROR(IF(OR($C92="",AI$91="",AI$91&gt;c_RefDate),NA(),IF(ISNUMBER(INDEX(db_Vals,MATCH(AI$91,db_Dates,0),$B92)),INDEX(db_Vals,MATCH(AI$91,db_Dates,0),$B92),NA())),NA())</f>
        <v>#N/A</v>
      </c>
      <c r="AJ92" t="e">
        <f>IFERROR(IF(OR($C92="",AJ$91="",AJ$91&gt;c_RefDate),NA(),IF(ISNUMBER(INDEX(db_Vals,MATCH(AJ$91,db_Dates,0),$B92)),INDEX(db_Vals,MATCH(AJ$91,db_Dates,0),$B92),NA())),NA())</f>
        <v>#N/A</v>
      </c>
      <c r="AK92" t="e">
        <f>IFERROR(IF(OR($C92="",AK$91="",AK$91&gt;c_RefDate),NA(),IF(ISNUMBER(INDEX(db_Vals,MATCH(AK$91,db_Dates,0),$B92)),INDEX(db_Vals,MATCH(AK$91,db_Dates,0),$B92),NA())),NA())</f>
        <v>#N/A</v>
      </c>
      <c r="AL92" t="e">
        <f>IFERROR(IF(OR($C92="",AL$91="",AL$91&gt;c_RefDate),NA(),IF(ISNUMBER(INDEX(db_Vals,MATCH(AL$91,db_Dates,0),$B92)),INDEX(db_Vals,MATCH(AL$91,db_Dates,0),$B92),NA())),NA())</f>
        <v>#N/A</v>
      </c>
      <c r="AM92" t="e">
        <f>IFERROR(IF(OR($C92="",AM$91="",AM$91&gt;c_RefDate),NA(),IF(ISNUMBER(INDEX(db_Vals,MATCH(AM$91,db_Dates,0),$B92)),INDEX(db_Vals,MATCH(AM$91,db_Dates,0),$B92),NA())),NA())</f>
        <v>#N/A</v>
      </c>
      <c r="AN92" t="e">
        <f>IFERROR(IF(OR($C92="",AN$91="",AN$91&gt;c_RefDate),NA(),IF(ISNUMBER(INDEX(db_Vals,MATCH(AN$91,db_Dates,0),$B92)),INDEX(db_Vals,MATCH(AN$91,db_Dates,0),$B92),NA())),NA())</f>
        <v>#N/A</v>
      </c>
      <c r="AO92" t="e">
        <f>IFERROR(IF(OR($C92="",AO$91="",AO$91&gt;c_RefDate),NA(),IF(ISNUMBER(INDEX(db_Vals,MATCH(AO$91,db_Dates,0),$B92)),INDEX(db_Vals,MATCH(AO$91,db_Dates,0),$B92),NA())),NA())</f>
        <v>#N/A</v>
      </c>
      <c r="AP92" t="e">
        <f>IFERROR(IF(OR($C92="",AP$91="",AP$91&gt;c_RefDate),NA(),IF(ISNUMBER(INDEX(db_Vals,MATCH(AP$91,db_Dates,0),$B92)),INDEX(db_Vals,MATCH(AP$91,db_Dates,0),$B92),NA())),NA())</f>
        <v>#N/A</v>
      </c>
    </row>
    <row r="93" spans="1:42">
      <c r="A93">
        <v>2</v>
      </c>
      <c r="B93">
        <f>MATCH(LARGE($J$46:$J$85,$A93),$J$46:$J$85,0)</f>
        <v>2.0</v>
      </c>
      <c r="C93" t="str">
        <f>INDEX($B$46:$B$85,$B93)</f>
        <v/>
      </c>
      <c r="D93" t="str">
        <f>INDEX($E$46:$E$85,$B93)</f>
        <v/>
      </c>
      <c r="E93">
        <f>INDEX($I$46:$I$85,$B93)</f>
        <v>-1.0</v>
      </c>
      <c r="F93" t="str">
        <f>INDEX($H$46:$H$85,$B93)</f>
        <v/>
      </c>
      <c r="G93">
        <f>INDEX($K$46:$K$85,$B93)</f>
        <v>0.0</v>
      </c>
      <c r="H93" s="130">
        <f>INDEX($D$46:$D$85,$B93)</f>
        <v>0.0</v>
      </c>
      <c r="L93" t="e">
        <f>IFERROR(IF(OR($C93="",L$91="",L$91&gt;c_RefDate),NA(),IF(ISNUMBER(INDEX(db_Vals,MATCH(L$91,db_Dates,0),$B93)),INDEX(db_Vals,MATCH(L$91,db_Dates,0),$B93),NA())),NA())</f>
        <v>#N/A</v>
      </c>
      <c r="M93" t="e">
        <f>IFERROR(IF(OR($C93="",M$91="",M$91&gt;c_RefDate),NA(),IF(ISNUMBER(INDEX(db_Vals,MATCH(M$91,db_Dates,0),$B93)),INDEX(db_Vals,MATCH(M$91,db_Dates,0),$B93),NA())),NA())</f>
        <v>#N/A</v>
      </c>
      <c r="N93" t="e">
        <f>IFERROR(IF(OR($C93="",N$91="",N$91&gt;c_RefDate),NA(),IF(ISNUMBER(INDEX(db_Vals,MATCH(N$91,db_Dates,0),$B93)),INDEX(db_Vals,MATCH(N$91,db_Dates,0),$B93),NA())),NA())</f>
        <v>#N/A</v>
      </c>
      <c r="O93" t="e">
        <f>IFERROR(IF(OR($C93="",O$91="",O$91&gt;c_RefDate),NA(),IF(ISNUMBER(INDEX(db_Vals,MATCH(O$91,db_Dates,0),$B93)),INDEX(db_Vals,MATCH(O$91,db_Dates,0),$B93),NA())),NA())</f>
        <v>#N/A</v>
      </c>
      <c r="P93" t="e">
        <f>IFERROR(IF(OR($C93="",P$91="",P$91&gt;c_RefDate),NA(),IF(ISNUMBER(INDEX(db_Vals,MATCH(P$91,db_Dates,0),$B93)),INDEX(db_Vals,MATCH(P$91,db_Dates,0),$B93),NA())),NA())</f>
        <v>#N/A</v>
      </c>
      <c r="Q93" t="e">
        <f>IFERROR(IF(OR($C93="",Q$91="",Q$91&gt;c_RefDate),NA(),IF(ISNUMBER(INDEX(db_Vals,MATCH(Q$91,db_Dates,0),$B93)),INDEX(db_Vals,MATCH(Q$91,db_Dates,0),$B93),NA())),NA())</f>
        <v>#N/A</v>
      </c>
      <c r="R93" t="e">
        <f>IFERROR(IF(OR($C93="",R$91="",R$91&gt;c_RefDate),NA(),IF(ISNUMBER(INDEX(db_Vals,MATCH(R$91,db_Dates,0),$B93)),INDEX(db_Vals,MATCH(R$91,db_Dates,0),$B93),NA())),NA())</f>
        <v>#N/A</v>
      </c>
      <c r="S93" t="e">
        <f>IFERROR(IF(OR($C93="",S$91="",S$91&gt;c_RefDate),NA(),IF(ISNUMBER(INDEX(db_Vals,MATCH(S$91,db_Dates,0),$B93)),INDEX(db_Vals,MATCH(S$91,db_Dates,0),$B93),NA())),NA())</f>
        <v>#N/A</v>
      </c>
      <c r="T93" t="e">
        <f>IFERROR(IF(OR($C93="",T$91="",T$91&gt;c_RefDate),NA(),IF(ISNUMBER(INDEX(db_Vals,MATCH(T$91,db_Dates,0),$B93)),INDEX(db_Vals,MATCH(T$91,db_Dates,0),$B93),NA())),NA())</f>
        <v>#N/A</v>
      </c>
      <c r="U93" t="e">
        <f>IFERROR(IF(OR($C93="",U$91="",U$91&gt;c_RefDate),NA(),IF(ISNUMBER(INDEX(db_Vals,MATCH(U$91,db_Dates,0),$B93)),INDEX(db_Vals,MATCH(U$91,db_Dates,0),$B93),NA())),NA())</f>
        <v>#N/A</v>
      </c>
      <c r="V93" t="e">
        <f>IFERROR(IF(OR($C93="",V$91="",V$91&gt;c_RefDate),NA(),IF(ISNUMBER(INDEX(db_Vals,MATCH(V$91,db_Dates,0),$B93)),INDEX(db_Vals,MATCH(V$91,db_Dates,0),$B93),NA())),NA())</f>
        <v>#N/A</v>
      </c>
      <c r="W93" t="e">
        <f>IFERROR(IF(OR($C93="",W$91="",W$91&gt;c_RefDate),NA(),IF(ISNUMBER(INDEX(db_Vals,MATCH(W$91,db_Dates,0),$B93)),INDEX(db_Vals,MATCH(W$91,db_Dates,0),$B93),NA())),NA())</f>
        <v>#N/A</v>
      </c>
      <c r="X93" t="e">
        <f>IFERROR(IF(OR($C93="",X$91="",X$91&gt;c_RefDate),NA(),IF(ISNUMBER(INDEX(db_Vals,MATCH(X$91,db_Dates,0),$B93)),INDEX(db_Vals,MATCH(X$91,db_Dates,0),$B93),NA())),NA())</f>
        <v>#N/A</v>
      </c>
      <c r="Y93" t="e">
        <f>IFERROR(IF(OR($C93="",Y$91="",Y$91&gt;c_RefDate),NA(),IF(ISNUMBER(INDEX(db_Vals,MATCH(Y$91,db_Dates,0),$B93)),INDEX(db_Vals,MATCH(Y$91,db_Dates,0),$B93),NA())),NA())</f>
        <v>#N/A</v>
      </c>
      <c r="Z93" t="e">
        <f>IFERROR(IF(OR($C93="",Z$91="",Z$91&gt;c_RefDate),NA(),IF(ISNUMBER(INDEX(db_Vals,MATCH(Z$91,db_Dates,0),$B93)),INDEX(db_Vals,MATCH(Z$91,db_Dates,0),$B93),NA())),NA())</f>
        <v>#N/A</v>
      </c>
      <c r="AA93" t="e">
        <f>IFERROR(IF(OR($C93="",AA$91="",AA$91&gt;c_RefDate),NA(),IF(ISNUMBER(INDEX(db_Vals,MATCH(AA$91,db_Dates,0),$B93)),INDEX(db_Vals,MATCH(AA$91,db_Dates,0),$B93),NA())),NA())</f>
        <v>#N/A</v>
      </c>
      <c r="AB93" t="e">
        <f>IFERROR(IF(OR($C93="",AB$91="",AB$91&gt;c_RefDate),NA(),IF(ISNUMBER(INDEX(db_Vals,MATCH(AB$91,db_Dates,0),$B93)),INDEX(db_Vals,MATCH(AB$91,db_Dates,0),$B93),NA())),NA())</f>
        <v>#N/A</v>
      </c>
      <c r="AC93" t="e">
        <f>IFERROR(IF(OR($C93="",AC$91="",AC$91&gt;c_RefDate),NA(),IF(ISNUMBER(INDEX(db_Vals,MATCH(AC$91,db_Dates,0),$B93)),INDEX(db_Vals,MATCH(AC$91,db_Dates,0),$B93),NA())),NA())</f>
        <v>#N/A</v>
      </c>
      <c r="AD93" t="e">
        <f>IFERROR(IF(OR($C93="",AD$91="",AD$91&gt;c_RefDate),NA(),IF(ISNUMBER(INDEX(db_Vals,MATCH(AD$91,db_Dates,0),$B93)),INDEX(db_Vals,MATCH(AD$91,db_Dates,0),$B93),NA())),NA())</f>
        <v>#N/A</v>
      </c>
      <c r="AE93" t="e">
        <f>IFERROR(IF(OR($C93="",AE$91="",AE$91&gt;c_RefDate),NA(),IF(ISNUMBER(INDEX(db_Vals,MATCH(AE$91,db_Dates,0),$B93)),INDEX(db_Vals,MATCH(AE$91,db_Dates,0),$B93),NA())),NA())</f>
        <v>#N/A</v>
      </c>
      <c r="AF93" t="e">
        <f>IFERROR(IF(OR($C93="",AF$91="",AF$91&gt;c_RefDate),NA(),IF(ISNUMBER(INDEX(db_Vals,MATCH(AF$91,db_Dates,0),$B93)),INDEX(db_Vals,MATCH(AF$91,db_Dates,0),$B93),NA())),NA())</f>
        <v>#N/A</v>
      </c>
      <c r="AG93" t="e">
        <f>IFERROR(IF(OR($C93="",AG$91="",AG$91&gt;c_RefDate),NA(),IF(ISNUMBER(INDEX(db_Vals,MATCH(AG$91,db_Dates,0),$B93)),INDEX(db_Vals,MATCH(AG$91,db_Dates,0),$B93),NA())),NA())</f>
        <v>#N/A</v>
      </c>
      <c r="AH93" t="e">
        <f>IFERROR(IF(OR($C93="",AH$91="",AH$91&gt;c_RefDate),NA(),IF(ISNUMBER(INDEX(db_Vals,MATCH(AH$91,db_Dates,0),$B93)),INDEX(db_Vals,MATCH(AH$91,db_Dates,0),$B93),NA())),NA())</f>
        <v>#N/A</v>
      </c>
      <c r="AI93" t="e">
        <f>IFERROR(IF(OR($C93="",AI$91="",AI$91&gt;c_RefDate),NA(),IF(ISNUMBER(INDEX(db_Vals,MATCH(AI$91,db_Dates,0),$B93)),INDEX(db_Vals,MATCH(AI$91,db_Dates,0),$B93),NA())),NA())</f>
        <v>#N/A</v>
      </c>
      <c r="AJ93" t="e">
        <f>IFERROR(IF(OR($C93="",AJ$91="",AJ$91&gt;c_RefDate),NA(),IF(ISNUMBER(INDEX(db_Vals,MATCH(AJ$91,db_Dates,0),$B93)),INDEX(db_Vals,MATCH(AJ$91,db_Dates,0),$B93),NA())),NA())</f>
        <v>#N/A</v>
      </c>
      <c r="AK93" t="e">
        <f>IFERROR(IF(OR($C93="",AK$91="",AK$91&gt;c_RefDate),NA(),IF(ISNUMBER(INDEX(db_Vals,MATCH(AK$91,db_Dates,0),$B93)),INDEX(db_Vals,MATCH(AK$91,db_Dates,0),$B93),NA())),NA())</f>
        <v>#N/A</v>
      </c>
      <c r="AL93" t="e">
        <f>IFERROR(IF(OR($C93="",AL$91="",AL$91&gt;c_RefDate),NA(),IF(ISNUMBER(INDEX(db_Vals,MATCH(AL$91,db_Dates,0),$B93)),INDEX(db_Vals,MATCH(AL$91,db_Dates,0),$B93),NA())),NA())</f>
        <v>#N/A</v>
      </c>
      <c r="AM93" t="e">
        <f>IFERROR(IF(OR($C93="",AM$91="",AM$91&gt;c_RefDate),NA(),IF(ISNUMBER(INDEX(db_Vals,MATCH(AM$91,db_Dates,0),$B93)),INDEX(db_Vals,MATCH(AM$91,db_Dates,0),$B93),NA())),NA())</f>
        <v>#N/A</v>
      </c>
      <c r="AN93" t="e">
        <f>IFERROR(IF(OR($C93="",AN$91="",AN$91&gt;c_RefDate),NA(),IF(ISNUMBER(INDEX(db_Vals,MATCH(AN$91,db_Dates,0),$B93)),INDEX(db_Vals,MATCH(AN$91,db_Dates,0),$B93),NA())),NA())</f>
        <v>#N/A</v>
      </c>
      <c r="AO93" t="e">
        <f>IFERROR(IF(OR($C93="",AO$91="",AO$91&gt;c_RefDate),NA(),IF(ISNUMBER(INDEX(db_Vals,MATCH(AO$91,db_Dates,0),$B93)),INDEX(db_Vals,MATCH(AO$91,db_Dates,0),$B93),NA())),NA())</f>
        <v>#N/A</v>
      </c>
      <c r="AP93" t="e">
        <f>IFERROR(IF(OR($C93="",AP$91="",AP$91&gt;c_RefDate),NA(),IF(ISNUMBER(INDEX(db_Vals,MATCH(AP$91,db_Dates,0),$B93)),INDEX(db_Vals,MATCH(AP$91,db_Dates,0),$B93),NA())),NA())</f>
        <v>#N/A</v>
      </c>
    </row>
    <row r="94" spans="1:42">
      <c r="A94">
        <v>3</v>
      </c>
      <c r="B94">
        <f>MATCH(LARGE($J$46:$J$85,$A94),$J$46:$J$85,0)</f>
        <v>3.0</v>
      </c>
      <c r="C94" t="str">
        <f>INDEX($B$46:$B$85,$B94)</f>
        <v/>
      </c>
      <c r="D94" t="str">
        <f>INDEX($E$46:$E$85,$B94)</f>
        <v/>
      </c>
      <c r="E94">
        <f>INDEX($I$46:$I$85,$B94)</f>
        <v>-1.0</v>
      </c>
      <c r="F94" t="str">
        <f>INDEX($H$46:$H$85,$B94)</f>
        <v/>
      </c>
      <c r="G94">
        <f>INDEX($K$46:$K$85,$B94)</f>
        <v>0.0</v>
      </c>
      <c r="H94" s="130">
        <f>INDEX($D$46:$D$85,$B94)</f>
        <v>0.0</v>
      </c>
      <c r="L94" t="e">
        <f>IFERROR(IF(OR($C94="",L$91="",L$91&gt;c_RefDate),NA(),IF(ISNUMBER(INDEX(db_Vals,MATCH(L$91,db_Dates,0),$B94)),INDEX(db_Vals,MATCH(L$91,db_Dates,0),$B94),NA())),NA())</f>
        <v>#N/A</v>
      </c>
      <c r="M94" t="e">
        <f>IFERROR(IF(OR($C94="",M$91="",M$91&gt;c_RefDate),NA(),IF(ISNUMBER(INDEX(db_Vals,MATCH(M$91,db_Dates,0),$B94)),INDEX(db_Vals,MATCH(M$91,db_Dates,0),$B94),NA())),NA())</f>
        <v>#N/A</v>
      </c>
      <c r="N94" t="e">
        <f>IFERROR(IF(OR($C94="",N$91="",N$91&gt;c_RefDate),NA(),IF(ISNUMBER(INDEX(db_Vals,MATCH(N$91,db_Dates,0),$B94)),INDEX(db_Vals,MATCH(N$91,db_Dates,0),$B94),NA())),NA())</f>
        <v>#N/A</v>
      </c>
      <c r="O94" t="e">
        <f>IFERROR(IF(OR($C94="",O$91="",O$91&gt;c_RefDate),NA(),IF(ISNUMBER(INDEX(db_Vals,MATCH(O$91,db_Dates,0),$B94)),INDEX(db_Vals,MATCH(O$91,db_Dates,0),$B94),NA())),NA())</f>
        <v>#N/A</v>
      </c>
      <c r="P94" t="e">
        <f>IFERROR(IF(OR($C94="",P$91="",P$91&gt;c_RefDate),NA(),IF(ISNUMBER(INDEX(db_Vals,MATCH(P$91,db_Dates,0),$B94)),INDEX(db_Vals,MATCH(P$91,db_Dates,0),$B94),NA())),NA())</f>
        <v>#N/A</v>
      </c>
      <c r="Q94" t="e">
        <f>IFERROR(IF(OR($C94="",Q$91="",Q$91&gt;c_RefDate),NA(),IF(ISNUMBER(INDEX(db_Vals,MATCH(Q$91,db_Dates,0),$B94)),INDEX(db_Vals,MATCH(Q$91,db_Dates,0),$B94),NA())),NA())</f>
        <v>#N/A</v>
      </c>
      <c r="R94" t="e">
        <f>IFERROR(IF(OR($C94="",R$91="",R$91&gt;c_RefDate),NA(),IF(ISNUMBER(INDEX(db_Vals,MATCH(R$91,db_Dates,0),$B94)),INDEX(db_Vals,MATCH(R$91,db_Dates,0),$B94),NA())),NA())</f>
        <v>#N/A</v>
      </c>
      <c r="S94" t="e">
        <f>IFERROR(IF(OR($C94="",S$91="",S$91&gt;c_RefDate),NA(),IF(ISNUMBER(INDEX(db_Vals,MATCH(S$91,db_Dates,0),$B94)),INDEX(db_Vals,MATCH(S$91,db_Dates,0),$B94),NA())),NA())</f>
        <v>#N/A</v>
      </c>
      <c r="T94" t="e">
        <f>IFERROR(IF(OR($C94="",T$91="",T$91&gt;c_RefDate),NA(),IF(ISNUMBER(INDEX(db_Vals,MATCH(T$91,db_Dates,0),$B94)),INDEX(db_Vals,MATCH(T$91,db_Dates,0),$B94),NA())),NA())</f>
        <v>#N/A</v>
      </c>
      <c r="U94" t="e">
        <f>IFERROR(IF(OR($C94="",U$91="",U$91&gt;c_RefDate),NA(),IF(ISNUMBER(INDEX(db_Vals,MATCH(U$91,db_Dates,0),$B94)),INDEX(db_Vals,MATCH(U$91,db_Dates,0),$B94),NA())),NA())</f>
        <v>#N/A</v>
      </c>
      <c r="V94" t="e">
        <f>IFERROR(IF(OR($C94="",V$91="",V$91&gt;c_RefDate),NA(),IF(ISNUMBER(INDEX(db_Vals,MATCH(V$91,db_Dates,0),$B94)),INDEX(db_Vals,MATCH(V$91,db_Dates,0),$B94),NA())),NA())</f>
        <v>#N/A</v>
      </c>
      <c r="W94" t="e">
        <f>IFERROR(IF(OR($C94="",W$91="",W$91&gt;c_RefDate),NA(),IF(ISNUMBER(INDEX(db_Vals,MATCH(W$91,db_Dates,0),$B94)),INDEX(db_Vals,MATCH(W$91,db_Dates,0),$B94),NA())),NA())</f>
        <v>#N/A</v>
      </c>
      <c r="X94" t="e">
        <f>IFERROR(IF(OR($C94="",X$91="",X$91&gt;c_RefDate),NA(),IF(ISNUMBER(INDEX(db_Vals,MATCH(X$91,db_Dates,0),$B94)),INDEX(db_Vals,MATCH(X$91,db_Dates,0),$B94),NA())),NA())</f>
        <v>#N/A</v>
      </c>
      <c r="Y94" t="e">
        <f>IFERROR(IF(OR($C94="",Y$91="",Y$91&gt;c_RefDate),NA(),IF(ISNUMBER(INDEX(db_Vals,MATCH(Y$91,db_Dates,0),$B94)),INDEX(db_Vals,MATCH(Y$91,db_Dates,0),$B94),NA())),NA())</f>
        <v>#N/A</v>
      </c>
      <c r="Z94" t="e">
        <f>IFERROR(IF(OR($C94="",Z$91="",Z$91&gt;c_RefDate),NA(),IF(ISNUMBER(INDEX(db_Vals,MATCH(Z$91,db_Dates,0),$B94)),INDEX(db_Vals,MATCH(Z$91,db_Dates,0),$B94),NA())),NA())</f>
        <v>#N/A</v>
      </c>
      <c r="AA94" t="e">
        <f>IFERROR(IF(OR($C94="",AA$91="",AA$91&gt;c_RefDate),NA(),IF(ISNUMBER(INDEX(db_Vals,MATCH(AA$91,db_Dates,0),$B94)),INDEX(db_Vals,MATCH(AA$91,db_Dates,0),$B94),NA())),NA())</f>
        <v>#N/A</v>
      </c>
      <c r="AB94" t="e">
        <f>IFERROR(IF(OR($C94="",AB$91="",AB$91&gt;c_RefDate),NA(),IF(ISNUMBER(INDEX(db_Vals,MATCH(AB$91,db_Dates,0),$B94)),INDEX(db_Vals,MATCH(AB$91,db_Dates,0),$B94),NA())),NA())</f>
        <v>#N/A</v>
      </c>
      <c r="AC94" t="e">
        <f>IFERROR(IF(OR($C94="",AC$91="",AC$91&gt;c_RefDate),NA(),IF(ISNUMBER(INDEX(db_Vals,MATCH(AC$91,db_Dates,0),$B94)),INDEX(db_Vals,MATCH(AC$91,db_Dates,0),$B94),NA())),NA())</f>
        <v>#N/A</v>
      </c>
      <c r="AD94" t="e">
        <f>IFERROR(IF(OR($C94="",AD$91="",AD$91&gt;c_RefDate),NA(),IF(ISNUMBER(INDEX(db_Vals,MATCH(AD$91,db_Dates,0),$B94)),INDEX(db_Vals,MATCH(AD$91,db_Dates,0),$B94),NA())),NA())</f>
        <v>#N/A</v>
      </c>
      <c r="AE94" t="e">
        <f>IFERROR(IF(OR($C94="",AE$91="",AE$91&gt;c_RefDate),NA(),IF(ISNUMBER(INDEX(db_Vals,MATCH(AE$91,db_Dates,0),$B94)),INDEX(db_Vals,MATCH(AE$91,db_Dates,0),$B94),NA())),NA())</f>
        <v>#N/A</v>
      </c>
      <c r="AF94" t="e">
        <f>IFERROR(IF(OR($C94="",AF$91="",AF$91&gt;c_RefDate),NA(),IF(ISNUMBER(INDEX(db_Vals,MATCH(AF$91,db_Dates,0),$B94)),INDEX(db_Vals,MATCH(AF$91,db_Dates,0),$B94),NA())),NA())</f>
        <v>#N/A</v>
      </c>
      <c r="AG94" t="e">
        <f>IFERROR(IF(OR($C94="",AG$91="",AG$91&gt;c_RefDate),NA(),IF(ISNUMBER(INDEX(db_Vals,MATCH(AG$91,db_Dates,0),$B94)),INDEX(db_Vals,MATCH(AG$91,db_Dates,0),$B94),NA())),NA())</f>
        <v>#N/A</v>
      </c>
      <c r="AH94" t="e">
        <f>IFERROR(IF(OR($C94="",AH$91="",AH$91&gt;c_RefDate),NA(),IF(ISNUMBER(INDEX(db_Vals,MATCH(AH$91,db_Dates,0),$B94)),INDEX(db_Vals,MATCH(AH$91,db_Dates,0),$B94),NA())),NA())</f>
        <v>#N/A</v>
      </c>
      <c r="AI94" t="e">
        <f>IFERROR(IF(OR($C94="",AI$91="",AI$91&gt;c_RefDate),NA(),IF(ISNUMBER(INDEX(db_Vals,MATCH(AI$91,db_Dates,0),$B94)),INDEX(db_Vals,MATCH(AI$91,db_Dates,0),$B94),NA())),NA())</f>
        <v>#N/A</v>
      </c>
      <c r="AJ94" t="e">
        <f>IFERROR(IF(OR($C94="",AJ$91="",AJ$91&gt;c_RefDate),NA(),IF(ISNUMBER(INDEX(db_Vals,MATCH(AJ$91,db_Dates,0),$B94)),INDEX(db_Vals,MATCH(AJ$91,db_Dates,0),$B94),NA())),NA())</f>
        <v>#N/A</v>
      </c>
      <c r="AK94" t="e">
        <f>IFERROR(IF(OR($C94="",AK$91="",AK$91&gt;c_RefDate),NA(),IF(ISNUMBER(INDEX(db_Vals,MATCH(AK$91,db_Dates,0),$B94)),INDEX(db_Vals,MATCH(AK$91,db_Dates,0),$B94),NA())),NA())</f>
        <v>#N/A</v>
      </c>
      <c r="AL94" t="e">
        <f>IFERROR(IF(OR($C94="",AL$91="",AL$91&gt;c_RefDate),NA(),IF(ISNUMBER(INDEX(db_Vals,MATCH(AL$91,db_Dates,0),$B94)),INDEX(db_Vals,MATCH(AL$91,db_Dates,0),$B94),NA())),NA())</f>
        <v>#N/A</v>
      </c>
      <c r="AM94" t="e">
        <f>IFERROR(IF(OR($C94="",AM$91="",AM$91&gt;c_RefDate),NA(),IF(ISNUMBER(INDEX(db_Vals,MATCH(AM$91,db_Dates,0),$B94)),INDEX(db_Vals,MATCH(AM$91,db_Dates,0),$B94),NA())),NA())</f>
        <v>#N/A</v>
      </c>
      <c r="AN94" t="e">
        <f>IFERROR(IF(OR($C94="",AN$91="",AN$91&gt;c_RefDate),NA(),IF(ISNUMBER(INDEX(db_Vals,MATCH(AN$91,db_Dates,0),$B94)),INDEX(db_Vals,MATCH(AN$91,db_Dates,0),$B94),NA())),NA())</f>
        <v>#N/A</v>
      </c>
      <c r="AO94" t="e">
        <f>IFERROR(IF(OR($C94="",AO$91="",AO$91&gt;c_RefDate),NA(),IF(ISNUMBER(INDEX(db_Vals,MATCH(AO$91,db_Dates,0),$B94)),INDEX(db_Vals,MATCH(AO$91,db_Dates,0),$B94),NA())),NA())</f>
        <v>#N/A</v>
      </c>
      <c r="AP94" t="e">
        <f>IFERROR(IF(OR($C94="",AP$91="",AP$91&gt;c_RefDate),NA(),IF(ISNUMBER(INDEX(db_Vals,MATCH(AP$91,db_Dates,0),$B94)),INDEX(db_Vals,MATCH(AP$91,db_Dates,0),$B94),NA())),NA())</f>
        <v>#N/A</v>
      </c>
    </row>
    <row r="95" spans="1:42">
      <c r="A95">
        <v>4</v>
      </c>
      <c r="B95">
        <f>MATCH(LARGE($J$46:$J$85,$A95),$J$46:$J$85,0)</f>
        <v>4.0</v>
      </c>
      <c r="C95" t="str">
        <f>INDEX($B$46:$B$85,$B95)</f>
        <v/>
      </c>
      <c r="D95" t="str">
        <f>INDEX($E$46:$E$85,$B95)</f>
        <v/>
      </c>
      <c r="E95">
        <f>INDEX($I$46:$I$85,$B95)</f>
        <v>-1.0</v>
      </c>
      <c r="F95" t="str">
        <f>INDEX($H$46:$H$85,$B95)</f>
        <v/>
      </c>
      <c r="G95">
        <f>INDEX($K$46:$K$85,$B95)</f>
        <v>0.0</v>
      </c>
      <c r="H95" s="130">
        <f>INDEX($D$46:$D$85,$B95)</f>
        <v>0.0</v>
      </c>
      <c r="L95" t="e">
        <f>IFERROR(IF(OR($C95="",L$91="",L$91&gt;c_RefDate),NA(),IF(ISNUMBER(INDEX(db_Vals,MATCH(L$91,db_Dates,0),$B95)),INDEX(db_Vals,MATCH(L$91,db_Dates,0),$B95),NA())),NA())</f>
        <v>#N/A</v>
      </c>
      <c r="M95" t="e">
        <f>IFERROR(IF(OR($C95="",M$91="",M$91&gt;c_RefDate),NA(),IF(ISNUMBER(INDEX(db_Vals,MATCH(M$91,db_Dates,0),$B95)),INDEX(db_Vals,MATCH(M$91,db_Dates,0),$B95),NA())),NA())</f>
        <v>#N/A</v>
      </c>
      <c r="N95" t="e">
        <f>IFERROR(IF(OR($C95="",N$91="",N$91&gt;c_RefDate),NA(),IF(ISNUMBER(INDEX(db_Vals,MATCH(N$91,db_Dates,0),$B95)),INDEX(db_Vals,MATCH(N$91,db_Dates,0),$B95),NA())),NA())</f>
        <v>#N/A</v>
      </c>
      <c r="O95" t="e">
        <f>IFERROR(IF(OR($C95="",O$91="",O$91&gt;c_RefDate),NA(),IF(ISNUMBER(INDEX(db_Vals,MATCH(O$91,db_Dates,0),$B95)),INDEX(db_Vals,MATCH(O$91,db_Dates,0),$B95),NA())),NA())</f>
        <v>#N/A</v>
      </c>
      <c r="P95" t="e">
        <f>IFERROR(IF(OR($C95="",P$91="",P$91&gt;c_RefDate),NA(),IF(ISNUMBER(INDEX(db_Vals,MATCH(P$91,db_Dates,0),$B95)),INDEX(db_Vals,MATCH(P$91,db_Dates,0),$B95),NA())),NA())</f>
        <v>#N/A</v>
      </c>
      <c r="Q95" t="e">
        <f>IFERROR(IF(OR($C95="",Q$91="",Q$91&gt;c_RefDate),NA(),IF(ISNUMBER(INDEX(db_Vals,MATCH(Q$91,db_Dates,0),$B95)),INDEX(db_Vals,MATCH(Q$91,db_Dates,0),$B95),NA())),NA())</f>
        <v>#N/A</v>
      </c>
      <c r="R95" t="e">
        <f>IFERROR(IF(OR($C95="",R$91="",R$91&gt;c_RefDate),NA(),IF(ISNUMBER(INDEX(db_Vals,MATCH(R$91,db_Dates,0),$B95)),INDEX(db_Vals,MATCH(R$91,db_Dates,0),$B95),NA())),NA())</f>
        <v>#N/A</v>
      </c>
      <c r="S95" t="e">
        <f>IFERROR(IF(OR($C95="",S$91="",S$91&gt;c_RefDate),NA(),IF(ISNUMBER(INDEX(db_Vals,MATCH(S$91,db_Dates,0),$B95)),INDEX(db_Vals,MATCH(S$91,db_Dates,0),$B95),NA())),NA())</f>
        <v>#N/A</v>
      </c>
      <c r="T95" t="e">
        <f>IFERROR(IF(OR($C95="",T$91="",T$91&gt;c_RefDate),NA(),IF(ISNUMBER(INDEX(db_Vals,MATCH(T$91,db_Dates,0),$B95)),INDEX(db_Vals,MATCH(T$91,db_Dates,0),$B95),NA())),NA())</f>
        <v>#N/A</v>
      </c>
      <c r="U95" t="e">
        <f>IFERROR(IF(OR($C95="",U$91="",U$91&gt;c_RefDate),NA(),IF(ISNUMBER(INDEX(db_Vals,MATCH(U$91,db_Dates,0),$B95)),INDEX(db_Vals,MATCH(U$91,db_Dates,0),$B95),NA())),NA())</f>
        <v>#N/A</v>
      </c>
      <c r="V95" t="e">
        <f>IFERROR(IF(OR($C95="",V$91="",V$91&gt;c_RefDate),NA(),IF(ISNUMBER(INDEX(db_Vals,MATCH(V$91,db_Dates,0),$B95)),INDEX(db_Vals,MATCH(V$91,db_Dates,0),$B95),NA())),NA())</f>
        <v>#N/A</v>
      </c>
      <c r="W95" t="e">
        <f>IFERROR(IF(OR($C95="",W$91="",W$91&gt;c_RefDate),NA(),IF(ISNUMBER(INDEX(db_Vals,MATCH(W$91,db_Dates,0),$B95)),INDEX(db_Vals,MATCH(W$91,db_Dates,0),$B95),NA())),NA())</f>
        <v>#N/A</v>
      </c>
      <c r="X95" t="e">
        <f>IFERROR(IF(OR($C95="",X$91="",X$91&gt;c_RefDate),NA(),IF(ISNUMBER(INDEX(db_Vals,MATCH(X$91,db_Dates,0),$B95)),INDEX(db_Vals,MATCH(X$91,db_Dates,0),$B95),NA())),NA())</f>
        <v>#N/A</v>
      </c>
      <c r="Y95" t="e">
        <f>IFERROR(IF(OR($C95="",Y$91="",Y$91&gt;c_RefDate),NA(),IF(ISNUMBER(INDEX(db_Vals,MATCH(Y$91,db_Dates,0),$B95)),INDEX(db_Vals,MATCH(Y$91,db_Dates,0),$B95),NA())),NA())</f>
        <v>#N/A</v>
      </c>
      <c r="Z95" t="e">
        <f>IFERROR(IF(OR($C95="",Z$91="",Z$91&gt;c_RefDate),NA(),IF(ISNUMBER(INDEX(db_Vals,MATCH(Z$91,db_Dates,0),$B95)),INDEX(db_Vals,MATCH(Z$91,db_Dates,0),$B95),NA())),NA())</f>
        <v>#N/A</v>
      </c>
      <c r="AA95" t="e">
        <f>IFERROR(IF(OR($C95="",AA$91="",AA$91&gt;c_RefDate),NA(),IF(ISNUMBER(INDEX(db_Vals,MATCH(AA$91,db_Dates,0),$B95)),INDEX(db_Vals,MATCH(AA$91,db_Dates,0),$B95),NA())),NA())</f>
        <v>#N/A</v>
      </c>
      <c r="AB95" t="e">
        <f>IFERROR(IF(OR($C95="",AB$91="",AB$91&gt;c_RefDate),NA(),IF(ISNUMBER(INDEX(db_Vals,MATCH(AB$91,db_Dates,0),$B95)),INDEX(db_Vals,MATCH(AB$91,db_Dates,0),$B95),NA())),NA())</f>
        <v>#N/A</v>
      </c>
      <c r="AC95" t="e">
        <f>IFERROR(IF(OR($C95="",AC$91="",AC$91&gt;c_RefDate),NA(),IF(ISNUMBER(INDEX(db_Vals,MATCH(AC$91,db_Dates,0),$B95)),INDEX(db_Vals,MATCH(AC$91,db_Dates,0),$B95),NA())),NA())</f>
        <v>#N/A</v>
      </c>
      <c r="AD95" t="e">
        <f>IFERROR(IF(OR($C95="",AD$91="",AD$91&gt;c_RefDate),NA(),IF(ISNUMBER(INDEX(db_Vals,MATCH(AD$91,db_Dates,0),$B95)),INDEX(db_Vals,MATCH(AD$91,db_Dates,0),$B95),NA())),NA())</f>
        <v>#N/A</v>
      </c>
      <c r="AE95" t="e">
        <f>IFERROR(IF(OR($C95="",AE$91="",AE$91&gt;c_RefDate),NA(),IF(ISNUMBER(INDEX(db_Vals,MATCH(AE$91,db_Dates,0),$B95)),INDEX(db_Vals,MATCH(AE$91,db_Dates,0),$B95),NA())),NA())</f>
        <v>#N/A</v>
      </c>
      <c r="AF95" t="e">
        <f>IFERROR(IF(OR($C95="",AF$91="",AF$91&gt;c_RefDate),NA(),IF(ISNUMBER(INDEX(db_Vals,MATCH(AF$91,db_Dates,0),$B95)),INDEX(db_Vals,MATCH(AF$91,db_Dates,0),$B95),NA())),NA())</f>
        <v>#N/A</v>
      </c>
      <c r="AG95" t="e">
        <f>IFERROR(IF(OR($C95="",AG$91="",AG$91&gt;c_RefDate),NA(),IF(ISNUMBER(INDEX(db_Vals,MATCH(AG$91,db_Dates,0),$B95)),INDEX(db_Vals,MATCH(AG$91,db_Dates,0),$B95),NA())),NA())</f>
        <v>#N/A</v>
      </c>
      <c r="AH95" t="e">
        <f>IFERROR(IF(OR($C95="",AH$91="",AH$91&gt;c_RefDate),NA(),IF(ISNUMBER(INDEX(db_Vals,MATCH(AH$91,db_Dates,0),$B95)),INDEX(db_Vals,MATCH(AH$91,db_Dates,0),$B95),NA())),NA())</f>
        <v>#N/A</v>
      </c>
      <c r="AI95" t="e">
        <f>IFERROR(IF(OR($C95="",AI$91="",AI$91&gt;c_RefDate),NA(),IF(ISNUMBER(INDEX(db_Vals,MATCH(AI$91,db_Dates,0),$B95)),INDEX(db_Vals,MATCH(AI$91,db_Dates,0),$B95),NA())),NA())</f>
        <v>#N/A</v>
      </c>
      <c r="AJ95" t="e">
        <f>IFERROR(IF(OR($C95="",AJ$91="",AJ$91&gt;c_RefDate),NA(),IF(ISNUMBER(INDEX(db_Vals,MATCH(AJ$91,db_Dates,0),$B95)),INDEX(db_Vals,MATCH(AJ$91,db_Dates,0),$B95),NA())),NA())</f>
        <v>#N/A</v>
      </c>
      <c r="AK95" t="e">
        <f>IFERROR(IF(OR($C95="",AK$91="",AK$91&gt;c_RefDate),NA(),IF(ISNUMBER(INDEX(db_Vals,MATCH(AK$91,db_Dates,0),$B95)),INDEX(db_Vals,MATCH(AK$91,db_Dates,0),$B95),NA())),NA())</f>
        <v>#N/A</v>
      </c>
      <c r="AL95" t="e">
        <f>IFERROR(IF(OR($C95="",AL$91="",AL$91&gt;c_RefDate),NA(),IF(ISNUMBER(INDEX(db_Vals,MATCH(AL$91,db_Dates,0),$B95)),INDEX(db_Vals,MATCH(AL$91,db_Dates,0),$B95),NA())),NA())</f>
        <v>#N/A</v>
      </c>
      <c r="AM95" t="e">
        <f>IFERROR(IF(OR($C95="",AM$91="",AM$91&gt;c_RefDate),NA(),IF(ISNUMBER(INDEX(db_Vals,MATCH(AM$91,db_Dates,0),$B95)),INDEX(db_Vals,MATCH(AM$91,db_Dates,0),$B95),NA())),NA())</f>
        <v>#N/A</v>
      </c>
      <c r="AN95" t="e">
        <f>IFERROR(IF(OR($C95="",AN$91="",AN$91&gt;c_RefDate),NA(),IF(ISNUMBER(INDEX(db_Vals,MATCH(AN$91,db_Dates,0),$B95)),INDEX(db_Vals,MATCH(AN$91,db_Dates,0),$B95),NA())),NA())</f>
        <v>#N/A</v>
      </c>
      <c r="AO95" t="e">
        <f>IFERROR(IF(OR($C95="",AO$91="",AO$91&gt;c_RefDate),NA(),IF(ISNUMBER(INDEX(db_Vals,MATCH(AO$91,db_Dates,0),$B95)),INDEX(db_Vals,MATCH(AO$91,db_Dates,0),$B95),NA())),NA())</f>
        <v>#N/A</v>
      </c>
      <c r="AP95" t="e">
        <f>IFERROR(IF(OR($C95="",AP$91="",AP$91&gt;c_RefDate),NA(),IF(ISNUMBER(INDEX(db_Vals,MATCH(AP$91,db_Dates,0),$B95)),INDEX(db_Vals,MATCH(AP$91,db_Dates,0),$B95),NA())),NA())</f>
        <v>#N/A</v>
      </c>
    </row>
    <row r="96" spans="1:42">
      <c r="A96">
        <v>5</v>
      </c>
      <c r="B96">
        <f>MATCH(LARGE($J$46:$J$85,$A96),$J$46:$J$85,0)</f>
        <v>5.0</v>
      </c>
      <c r="C96" t="str">
        <f>INDEX($B$46:$B$85,$B96)</f>
        <v/>
      </c>
      <c r="D96" t="str">
        <f>INDEX($E$46:$E$85,$B96)</f>
        <v/>
      </c>
      <c r="E96">
        <f>INDEX($I$46:$I$85,$B96)</f>
        <v>-1.0</v>
      </c>
      <c r="F96" t="str">
        <f>INDEX($H$46:$H$85,$B96)</f>
        <v/>
      </c>
      <c r="G96">
        <f>INDEX($K$46:$K$85,$B96)</f>
        <v>0.0</v>
      </c>
      <c r="H96" s="130">
        <f>INDEX($D$46:$D$85,$B96)</f>
        <v>0.0</v>
      </c>
      <c r="L96" t="e">
        <f>IFERROR(IF(OR($C96="",L$91="",L$91&gt;c_RefDate),NA(),IF(ISNUMBER(INDEX(db_Vals,MATCH(L$91,db_Dates,0),$B96)),INDEX(db_Vals,MATCH(L$91,db_Dates,0),$B96),NA())),NA())</f>
        <v>#N/A</v>
      </c>
      <c r="M96" t="e">
        <f>IFERROR(IF(OR($C96="",M$91="",M$91&gt;c_RefDate),NA(),IF(ISNUMBER(INDEX(db_Vals,MATCH(M$91,db_Dates,0),$B96)),INDEX(db_Vals,MATCH(M$91,db_Dates,0),$B96),NA())),NA())</f>
        <v>#N/A</v>
      </c>
      <c r="N96" t="e">
        <f>IFERROR(IF(OR($C96="",N$91="",N$91&gt;c_RefDate),NA(),IF(ISNUMBER(INDEX(db_Vals,MATCH(N$91,db_Dates,0),$B96)),INDEX(db_Vals,MATCH(N$91,db_Dates,0),$B96),NA())),NA())</f>
        <v>#N/A</v>
      </c>
      <c r="O96" t="e">
        <f>IFERROR(IF(OR($C96="",O$91="",O$91&gt;c_RefDate),NA(),IF(ISNUMBER(INDEX(db_Vals,MATCH(O$91,db_Dates,0),$B96)),INDEX(db_Vals,MATCH(O$91,db_Dates,0),$B96),NA())),NA())</f>
        <v>#N/A</v>
      </c>
      <c r="P96" t="e">
        <f>IFERROR(IF(OR($C96="",P$91="",P$91&gt;c_RefDate),NA(),IF(ISNUMBER(INDEX(db_Vals,MATCH(P$91,db_Dates,0),$B96)),INDEX(db_Vals,MATCH(P$91,db_Dates,0),$B96),NA())),NA())</f>
        <v>#N/A</v>
      </c>
      <c r="Q96" t="e">
        <f>IFERROR(IF(OR($C96="",Q$91="",Q$91&gt;c_RefDate),NA(),IF(ISNUMBER(INDEX(db_Vals,MATCH(Q$91,db_Dates,0),$B96)),INDEX(db_Vals,MATCH(Q$91,db_Dates,0),$B96),NA())),NA())</f>
        <v>#N/A</v>
      </c>
      <c r="R96" t="e">
        <f>IFERROR(IF(OR($C96="",R$91="",R$91&gt;c_RefDate),NA(),IF(ISNUMBER(INDEX(db_Vals,MATCH(R$91,db_Dates,0),$B96)),INDEX(db_Vals,MATCH(R$91,db_Dates,0),$B96),NA())),NA())</f>
        <v>#N/A</v>
      </c>
      <c r="S96" t="e">
        <f>IFERROR(IF(OR($C96="",S$91="",S$91&gt;c_RefDate),NA(),IF(ISNUMBER(INDEX(db_Vals,MATCH(S$91,db_Dates,0),$B96)),INDEX(db_Vals,MATCH(S$91,db_Dates,0),$B96),NA())),NA())</f>
        <v>#N/A</v>
      </c>
      <c r="T96" t="e">
        <f>IFERROR(IF(OR($C96="",T$91="",T$91&gt;c_RefDate),NA(),IF(ISNUMBER(INDEX(db_Vals,MATCH(T$91,db_Dates,0),$B96)),INDEX(db_Vals,MATCH(T$91,db_Dates,0),$B96),NA())),NA())</f>
        <v>#N/A</v>
      </c>
      <c r="U96" t="e">
        <f>IFERROR(IF(OR($C96="",U$91="",U$91&gt;c_RefDate),NA(),IF(ISNUMBER(INDEX(db_Vals,MATCH(U$91,db_Dates,0),$B96)),INDEX(db_Vals,MATCH(U$91,db_Dates,0),$B96),NA())),NA())</f>
        <v>#N/A</v>
      </c>
      <c r="V96" t="e">
        <f>IFERROR(IF(OR($C96="",V$91="",V$91&gt;c_RefDate),NA(),IF(ISNUMBER(INDEX(db_Vals,MATCH(V$91,db_Dates,0),$B96)),INDEX(db_Vals,MATCH(V$91,db_Dates,0),$B96),NA())),NA())</f>
        <v>#N/A</v>
      </c>
      <c r="W96" t="e">
        <f>IFERROR(IF(OR($C96="",W$91="",W$91&gt;c_RefDate),NA(),IF(ISNUMBER(INDEX(db_Vals,MATCH(W$91,db_Dates,0),$B96)),INDEX(db_Vals,MATCH(W$91,db_Dates,0),$B96),NA())),NA())</f>
        <v>#N/A</v>
      </c>
      <c r="X96" t="e">
        <f>IFERROR(IF(OR($C96="",X$91="",X$91&gt;c_RefDate),NA(),IF(ISNUMBER(INDEX(db_Vals,MATCH(X$91,db_Dates,0),$B96)),INDEX(db_Vals,MATCH(X$91,db_Dates,0),$B96),NA())),NA())</f>
        <v>#N/A</v>
      </c>
      <c r="Y96" t="e">
        <f>IFERROR(IF(OR($C96="",Y$91="",Y$91&gt;c_RefDate),NA(),IF(ISNUMBER(INDEX(db_Vals,MATCH(Y$91,db_Dates,0),$B96)),INDEX(db_Vals,MATCH(Y$91,db_Dates,0),$B96),NA())),NA())</f>
        <v>#N/A</v>
      </c>
      <c r="Z96" t="e">
        <f>IFERROR(IF(OR($C96="",Z$91="",Z$91&gt;c_RefDate),NA(),IF(ISNUMBER(INDEX(db_Vals,MATCH(Z$91,db_Dates,0),$B96)),INDEX(db_Vals,MATCH(Z$91,db_Dates,0),$B96),NA())),NA())</f>
        <v>#N/A</v>
      </c>
      <c r="AA96" t="e">
        <f>IFERROR(IF(OR($C96="",AA$91="",AA$91&gt;c_RefDate),NA(),IF(ISNUMBER(INDEX(db_Vals,MATCH(AA$91,db_Dates,0),$B96)),INDEX(db_Vals,MATCH(AA$91,db_Dates,0),$B96),NA())),NA())</f>
        <v>#N/A</v>
      </c>
      <c r="AB96" t="e">
        <f>IFERROR(IF(OR($C96="",AB$91="",AB$91&gt;c_RefDate),NA(),IF(ISNUMBER(INDEX(db_Vals,MATCH(AB$91,db_Dates,0),$B96)),INDEX(db_Vals,MATCH(AB$91,db_Dates,0),$B96),NA())),NA())</f>
        <v>#N/A</v>
      </c>
      <c r="AC96" t="e">
        <f>IFERROR(IF(OR($C96="",AC$91="",AC$91&gt;c_RefDate),NA(),IF(ISNUMBER(INDEX(db_Vals,MATCH(AC$91,db_Dates,0),$B96)),INDEX(db_Vals,MATCH(AC$91,db_Dates,0),$B96),NA())),NA())</f>
        <v>#N/A</v>
      </c>
      <c r="AD96" t="e">
        <f>IFERROR(IF(OR($C96="",AD$91="",AD$91&gt;c_RefDate),NA(),IF(ISNUMBER(INDEX(db_Vals,MATCH(AD$91,db_Dates,0),$B96)),INDEX(db_Vals,MATCH(AD$91,db_Dates,0),$B96),NA())),NA())</f>
        <v>#N/A</v>
      </c>
      <c r="AE96" t="e">
        <f>IFERROR(IF(OR($C96="",AE$91="",AE$91&gt;c_RefDate),NA(),IF(ISNUMBER(INDEX(db_Vals,MATCH(AE$91,db_Dates,0),$B96)),INDEX(db_Vals,MATCH(AE$91,db_Dates,0),$B96),NA())),NA())</f>
        <v>#N/A</v>
      </c>
      <c r="AF96" t="e">
        <f>IFERROR(IF(OR($C96="",AF$91="",AF$91&gt;c_RefDate),NA(),IF(ISNUMBER(INDEX(db_Vals,MATCH(AF$91,db_Dates,0),$B96)),INDEX(db_Vals,MATCH(AF$91,db_Dates,0),$B96),NA())),NA())</f>
        <v>#N/A</v>
      </c>
      <c r="AG96" t="e">
        <f>IFERROR(IF(OR($C96="",AG$91="",AG$91&gt;c_RefDate),NA(),IF(ISNUMBER(INDEX(db_Vals,MATCH(AG$91,db_Dates,0),$B96)),INDEX(db_Vals,MATCH(AG$91,db_Dates,0),$B96),NA())),NA())</f>
        <v>#N/A</v>
      </c>
      <c r="AH96" t="e">
        <f>IFERROR(IF(OR($C96="",AH$91="",AH$91&gt;c_RefDate),NA(),IF(ISNUMBER(INDEX(db_Vals,MATCH(AH$91,db_Dates,0),$B96)),INDEX(db_Vals,MATCH(AH$91,db_Dates,0),$B96),NA())),NA())</f>
        <v>#N/A</v>
      </c>
      <c r="AI96" t="e">
        <f>IFERROR(IF(OR($C96="",AI$91="",AI$91&gt;c_RefDate),NA(),IF(ISNUMBER(INDEX(db_Vals,MATCH(AI$91,db_Dates,0),$B96)),INDEX(db_Vals,MATCH(AI$91,db_Dates,0),$B96),NA())),NA())</f>
        <v>#N/A</v>
      </c>
      <c r="AJ96" t="e">
        <f>IFERROR(IF(OR($C96="",AJ$91="",AJ$91&gt;c_RefDate),NA(),IF(ISNUMBER(INDEX(db_Vals,MATCH(AJ$91,db_Dates,0),$B96)),INDEX(db_Vals,MATCH(AJ$91,db_Dates,0),$B96),NA())),NA())</f>
        <v>#N/A</v>
      </c>
      <c r="AK96" t="e">
        <f>IFERROR(IF(OR($C96="",AK$91="",AK$91&gt;c_RefDate),NA(),IF(ISNUMBER(INDEX(db_Vals,MATCH(AK$91,db_Dates,0),$B96)),INDEX(db_Vals,MATCH(AK$91,db_Dates,0),$B96),NA())),NA())</f>
        <v>#N/A</v>
      </c>
      <c r="AL96" t="e">
        <f>IFERROR(IF(OR($C96="",AL$91="",AL$91&gt;c_RefDate),NA(),IF(ISNUMBER(INDEX(db_Vals,MATCH(AL$91,db_Dates,0),$B96)),INDEX(db_Vals,MATCH(AL$91,db_Dates,0),$B96),NA())),NA())</f>
        <v>#N/A</v>
      </c>
      <c r="AM96" t="e">
        <f>IFERROR(IF(OR($C96="",AM$91="",AM$91&gt;c_RefDate),NA(),IF(ISNUMBER(INDEX(db_Vals,MATCH(AM$91,db_Dates,0),$B96)),INDEX(db_Vals,MATCH(AM$91,db_Dates,0),$B96),NA())),NA())</f>
        <v>#N/A</v>
      </c>
      <c r="AN96" t="e">
        <f>IFERROR(IF(OR($C96="",AN$91="",AN$91&gt;c_RefDate),NA(),IF(ISNUMBER(INDEX(db_Vals,MATCH(AN$91,db_Dates,0),$B96)),INDEX(db_Vals,MATCH(AN$91,db_Dates,0),$B96),NA())),NA())</f>
        <v>#N/A</v>
      </c>
      <c r="AO96" t="e">
        <f>IFERROR(IF(OR($C96="",AO$91="",AO$91&gt;c_RefDate),NA(),IF(ISNUMBER(INDEX(db_Vals,MATCH(AO$91,db_Dates,0),$B96)),INDEX(db_Vals,MATCH(AO$91,db_Dates,0),$B96),NA())),NA())</f>
        <v>#N/A</v>
      </c>
      <c r="AP96" t="e">
        <f>IFERROR(IF(OR($C96="",AP$91="",AP$91&gt;c_RefDate),NA(),IF(ISNUMBER(INDEX(db_Vals,MATCH(AP$91,db_Dates,0),$B96)),INDEX(db_Vals,MATCH(AP$91,db_Dates,0),$B96),NA())),NA())</f>
        <v>#N/A</v>
      </c>
    </row>
    <row r="97" spans="1:42">
      <c r="A97">
        <v>6</v>
      </c>
      <c r="B97">
        <f>MATCH(LARGE($J$46:$J$85,$A97),$J$46:$J$85,0)</f>
        <v>6.0</v>
      </c>
      <c r="C97" t="str">
        <f>INDEX($B$46:$B$85,$B97)</f>
        <v/>
      </c>
      <c r="D97" t="str">
        <f>INDEX($E$46:$E$85,$B97)</f>
        <v/>
      </c>
      <c r="E97">
        <f>INDEX($I$46:$I$85,$B97)</f>
        <v>-1.0</v>
      </c>
      <c r="F97" t="str">
        <f>INDEX($H$46:$H$85,$B97)</f>
        <v/>
      </c>
      <c r="G97">
        <f>INDEX($K$46:$K$85,$B97)</f>
        <v>0.0</v>
      </c>
      <c r="H97" s="130">
        <f>INDEX($D$46:$D$85,$B97)</f>
        <v>0.0</v>
      </c>
      <c r="L97" t="e">
        <f>IFERROR(IF(OR($C97="",L$91="",L$91&gt;c_RefDate),NA(),IF(ISNUMBER(INDEX(db_Vals,MATCH(L$91,db_Dates,0),$B97)),INDEX(db_Vals,MATCH(L$91,db_Dates,0),$B97),NA())),NA())</f>
        <v>#N/A</v>
      </c>
      <c r="M97" t="e">
        <f>IFERROR(IF(OR($C97="",M$91="",M$91&gt;c_RefDate),NA(),IF(ISNUMBER(INDEX(db_Vals,MATCH(M$91,db_Dates,0),$B97)),INDEX(db_Vals,MATCH(M$91,db_Dates,0),$B97),NA())),NA())</f>
        <v>#N/A</v>
      </c>
      <c r="N97" t="e">
        <f>IFERROR(IF(OR($C97="",N$91="",N$91&gt;c_RefDate),NA(),IF(ISNUMBER(INDEX(db_Vals,MATCH(N$91,db_Dates,0),$B97)),INDEX(db_Vals,MATCH(N$91,db_Dates,0),$B97),NA())),NA())</f>
        <v>#N/A</v>
      </c>
      <c r="O97" t="e">
        <f>IFERROR(IF(OR($C97="",O$91="",O$91&gt;c_RefDate),NA(),IF(ISNUMBER(INDEX(db_Vals,MATCH(O$91,db_Dates,0),$B97)),INDEX(db_Vals,MATCH(O$91,db_Dates,0),$B97),NA())),NA())</f>
        <v>#N/A</v>
      </c>
      <c r="P97" t="e">
        <f>IFERROR(IF(OR($C97="",P$91="",P$91&gt;c_RefDate),NA(),IF(ISNUMBER(INDEX(db_Vals,MATCH(P$91,db_Dates,0),$B97)),INDEX(db_Vals,MATCH(P$91,db_Dates,0),$B97),NA())),NA())</f>
        <v>#N/A</v>
      </c>
      <c r="Q97" t="e">
        <f>IFERROR(IF(OR($C97="",Q$91="",Q$91&gt;c_RefDate),NA(),IF(ISNUMBER(INDEX(db_Vals,MATCH(Q$91,db_Dates,0),$B97)),INDEX(db_Vals,MATCH(Q$91,db_Dates,0),$B97),NA())),NA())</f>
        <v>#N/A</v>
      </c>
      <c r="R97" t="e">
        <f>IFERROR(IF(OR($C97="",R$91="",R$91&gt;c_RefDate),NA(),IF(ISNUMBER(INDEX(db_Vals,MATCH(R$91,db_Dates,0),$B97)),INDEX(db_Vals,MATCH(R$91,db_Dates,0),$B97),NA())),NA())</f>
        <v>#N/A</v>
      </c>
      <c r="S97" t="e">
        <f>IFERROR(IF(OR($C97="",S$91="",S$91&gt;c_RefDate),NA(),IF(ISNUMBER(INDEX(db_Vals,MATCH(S$91,db_Dates,0),$B97)),INDEX(db_Vals,MATCH(S$91,db_Dates,0),$B97),NA())),NA())</f>
        <v>#N/A</v>
      </c>
      <c r="T97" t="e">
        <f>IFERROR(IF(OR($C97="",T$91="",T$91&gt;c_RefDate),NA(),IF(ISNUMBER(INDEX(db_Vals,MATCH(T$91,db_Dates,0),$B97)),INDEX(db_Vals,MATCH(T$91,db_Dates,0),$B97),NA())),NA())</f>
        <v>#N/A</v>
      </c>
      <c r="U97" t="e">
        <f>IFERROR(IF(OR($C97="",U$91="",U$91&gt;c_RefDate),NA(),IF(ISNUMBER(INDEX(db_Vals,MATCH(U$91,db_Dates,0),$B97)),INDEX(db_Vals,MATCH(U$91,db_Dates,0),$B97),NA())),NA())</f>
        <v>#N/A</v>
      </c>
      <c r="V97" t="e">
        <f>IFERROR(IF(OR($C97="",V$91="",V$91&gt;c_RefDate),NA(),IF(ISNUMBER(INDEX(db_Vals,MATCH(V$91,db_Dates,0),$B97)),INDEX(db_Vals,MATCH(V$91,db_Dates,0),$B97),NA())),NA())</f>
        <v>#N/A</v>
      </c>
      <c r="W97" t="e">
        <f>IFERROR(IF(OR($C97="",W$91="",W$91&gt;c_RefDate),NA(),IF(ISNUMBER(INDEX(db_Vals,MATCH(W$91,db_Dates,0),$B97)),INDEX(db_Vals,MATCH(W$91,db_Dates,0),$B97),NA())),NA())</f>
        <v>#N/A</v>
      </c>
      <c r="X97" t="e">
        <f>IFERROR(IF(OR($C97="",X$91="",X$91&gt;c_RefDate),NA(),IF(ISNUMBER(INDEX(db_Vals,MATCH(X$91,db_Dates,0),$B97)),INDEX(db_Vals,MATCH(X$91,db_Dates,0),$B97),NA())),NA())</f>
        <v>#N/A</v>
      </c>
      <c r="Y97" t="e">
        <f>IFERROR(IF(OR($C97="",Y$91="",Y$91&gt;c_RefDate),NA(),IF(ISNUMBER(INDEX(db_Vals,MATCH(Y$91,db_Dates,0),$B97)),INDEX(db_Vals,MATCH(Y$91,db_Dates,0),$B97),NA())),NA())</f>
        <v>#N/A</v>
      </c>
      <c r="Z97" t="e">
        <f>IFERROR(IF(OR($C97="",Z$91="",Z$91&gt;c_RefDate),NA(),IF(ISNUMBER(INDEX(db_Vals,MATCH(Z$91,db_Dates,0),$B97)),INDEX(db_Vals,MATCH(Z$91,db_Dates,0),$B97),NA())),NA())</f>
        <v>#N/A</v>
      </c>
      <c r="AA97" t="e">
        <f>IFERROR(IF(OR($C97="",AA$91="",AA$91&gt;c_RefDate),NA(),IF(ISNUMBER(INDEX(db_Vals,MATCH(AA$91,db_Dates,0),$B97)),INDEX(db_Vals,MATCH(AA$91,db_Dates,0),$B97),NA())),NA())</f>
        <v>#N/A</v>
      </c>
      <c r="AB97" t="e">
        <f>IFERROR(IF(OR($C97="",AB$91="",AB$91&gt;c_RefDate),NA(),IF(ISNUMBER(INDEX(db_Vals,MATCH(AB$91,db_Dates,0),$B97)),INDEX(db_Vals,MATCH(AB$91,db_Dates,0),$B97),NA())),NA())</f>
        <v>#N/A</v>
      </c>
      <c r="AC97" t="e">
        <f>IFERROR(IF(OR($C97="",AC$91="",AC$91&gt;c_RefDate),NA(),IF(ISNUMBER(INDEX(db_Vals,MATCH(AC$91,db_Dates,0),$B97)),INDEX(db_Vals,MATCH(AC$91,db_Dates,0),$B97),NA())),NA())</f>
        <v>#N/A</v>
      </c>
      <c r="AD97" t="e">
        <f>IFERROR(IF(OR($C97="",AD$91="",AD$91&gt;c_RefDate),NA(),IF(ISNUMBER(INDEX(db_Vals,MATCH(AD$91,db_Dates,0),$B97)),INDEX(db_Vals,MATCH(AD$91,db_Dates,0),$B97),NA())),NA())</f>
        <v>#N/A</v>
      </c>
      <c r="AE97" t="e">
        <f>IFERROR(IF(OR($C97="",AE$91="",AE$91&gt;c_RefDate),NA(),IF(ISNUMBER(INDEX(db_Vals,MATCH(AE$91,db_Dates,0),$B97)),INDEX(db_Vals,MATCH(AE$91,db_Dates,0),$B97),NA())),NA())</f>
        <v>#N/A</v>
      </c>
      <c r="AF97" t="e">
        <f>IFERROR(IF(OR($C97="",AF$91="",AF$91&gt;c_RefDate),NA(),IF(ISNUMBER(INDEX(db_Vals,MATCH(AF$91,db_Dates,0),$B97)),INDEX(db_Vals,MATCH(AF$91,db_Dates,0),$B97),NA())),NA())</f>
        <v>#N/A</v>
      </c>
      <c r="AG97" t="e">
        <f>IFERROR(IF(OR($C97="",AG$91="",AG$91&gt;c_RefDate),NA(),IF(ISNUMBER(INDEX(db_Vals,MATCH(AG$91,db_Dates,0),$B97)),INDEX(db_Vals,MATCH(AG$91,db_Dates,0),$B97),NA())),NA())</f>
        <v>#N/A</v>
      </c>
      <c r="AH97" t="e">
        <f>IFERROR(IF(OR($C97="",AH$91="",AH$91&gt;c_RefDate),NA(),IF(ISNUMBER(INDEX(db_Vals,MATCH(AH$91,db_Dates,0),$B97)),INDEX(db_Vals,MATCH(AH$91,db_Dates,0),$B97),NA())),NA())</f>
        <v>#N/A</v>
      </c>
      <c r="AI97" t="e">
        <f>IFERROR(IF(OR($C97="",AI$91="",AI$91&gt;c_RefDate),NA(),IF(ISNUMBER(INDEX(db_Vals,MATCH(AI$91,db_Dates,0),$B97)),INDEX(db_Vals,MATCH(AI$91,db_Dates,0),$B97),NA())),NA())</f>
        <v>#N/A</v>
      </c>
      <c r="AJ97" t="e">
        <f>IFERROR(IF(OR($C97="",AJ$91="",AJ$91&gt;c_RefDate),NA(),IF(ISNUMBER(INDEX(db_Vals,MATCH(AJ$91,db_Dates,0),$B97)),INDEX(db_Vals,MATCH(AJ$91,db_Dates,0),$B97),NA())),NA())</f>
        <v>#N/A</v>
      </c>
      <c r="AK97" t="e">
        <f>IFERROR(IF(OR($C97="",AK$91="",AK$91&gt;c_RefDate),NA(),IF(ISNUMBER(INDEX(db_Vals,MATCH(AK$91,db_Dates,0),$B97)),INDEX(db_Vals,MATCH(AK$91,db_Dates,0),$B97),NA())),NA())</f>
        <v>#N/A</v>
      </c>
      <c r="AL97" t="e">
        <f>IFERROR(IF(OR($C97="",AL$91="",AL$91&gt;c_RefDate),NA(),IF(ISNUMBER(INDEX(db_Vals,MATCH(AL$91,db_Dates,0),$B97)),INDEX(db_Vals,MATCH(AL$91,db_Dates,0),$B97),NA())),NA())</f>
        <v>#N/A</v>
      </c>
      <c r="AM97" t="e">
        <f>IFERROR(IF(OR($C97="",AM$91="",AM$91&gt;c_RefDate),NA(),IF(ISNUMBER(INDEX(db_Vals,MATCH(AM$91,db_Dates,0),$B97)),INDEX(db_Vals,MATCH(AM$91,db_Dates,0),$B97),NA())),NA())</f>
        <v>#N/A</v>
      </c>
      <c r="AN97" t="e">
        <f>IFERROR(IF(OR($C97="",AN$91="",AN$91&gt;c_RefDate),NA(),IF(ISNUMBER(INDEX(db_Vals,MATCH(AN$91,db_Dates,0),$B97)),INDEX(db_Vals,MATCH(AN$91,db_Dates,0),$B97),NA())),NA())</f>
        <v>#N/A</v>
      </c>
      <c r="AO97" t="e">
        <f>IFERROR(IF(OR($C97="",AO$91="",AO$91&gt;c_RefDate),NA(),IF(ISNUMBER(INDEX(db_Vals,MATCH(AO$91,db_Dates,0),$B97)),INDEX(db_Vals,MATCH(AO$91,db_Dates,0),$B97),NA())),NA())</f>
        <v>#N/A</v>
      </c>
      <c r="AP97" t="e">
        <f>IFERROR(IF(OR($C97="",AP$91="",AP$91&gt;c_RefDate),NA(),IF(ISNUMBER(INDEX(db_Vals,MATCH(AP$91,db_Dates,0),$B97)),INDEX(db_Vals,MATCH(AP$91,db_Dates,0),$B97),NA())),NA())</f>
        <v>#N/A</v>
      </c>
    </row>
    <row r="98" spans="1:42">
      <c r="A98">
        <v>7</v>
      </c>
      <c r="B98">
        <f>MATCH(LARGE($J$46:$J$85,$A98),$J$46:$J$85,0)</f>
        <v>7.0</v>
      </c>
      <c r="C98" t="str">
        <f>INDEX($B$46:$B$85,$B98)</f>
        <v/>
      </c>
      <c r="D98" t="str">
        <f>INDEX($E$46:$E$85,$B98)</f>
        <v/>
      </c>
      <c r="E98">
        <f>INDEX($I$46:$I$85,$B98)</f>
        <v>-1.0</v>
      </c>
      <c r="F98" t="str">
        <f>INDEX($H$46:$H$85,$B98)</f>
        <v/>
      </c>
      <c r="G98">
        <f>INDEX($K$46:$K$85,$B98)</f>
        <v>0.0</v>
      </c>
      <c r="H98" s="130">
        <f>INDEX($D$46:$D$85,$B98)</f>
        <v>0.0</v>
      </c>
      <c r="L98" t="e">
        <f>IFERROR(IF(OR($C98="",L$91="",L$91&gt;c_RefDate),NA(),IF(ISNUMBER(INDEX(db_Vals,MATCH(L$91,db_Dates,0),$B98)),INDEX(db_Vals,MATCH(L$91,db_Dates,0),$B98),NA())),NA())</f>
        <v>#N/A</v>
      </c>
      <c r="M98" t="e">
        <f>IFERROR(IF(OR($C98="",M$91="",M$91&gt;c_RefDate),NA(),IF(ISNUMBER(INDEX(db_Vals,MATCH(M$91,db_Dates,0),$B98)),INDEX(db_Vals,MATCH(M$91,db_Dates,0),$B98),NA())),NA())</f>
        <v>#N/A</v>
      </c>
      <c r="N98" t="e">
        <f>IFERROR(IF(OR($C98="",N$91="",N$91&gt;c_RefDate),NA(),IF(ISNUMBER(INDEX(db_Vals,MATCH(N$91,db_Dates,0),$B98)),INDEX(db_Vals,MATCH(N$91,db_Dates,0),$B98),NA())),NA())</f>
        <v>#N/A</v>
      </c>
      <c r="O98" t="e">
        <f>IFERROR(IF(OR($C98="",O$91="",O$91&gt;c_RefDate),NA(),IF(ISNUMBER(INDEX(db_Vals,MATCH(O$91,db_Dates,0),$B98)),INDEX(db_Vals,MATCH(O$91,db_Dates,0),$B98),NA())),NA())</f>
        <v>#N/A</v>
      </c>
      <c r="P98" t="e">
        <f>IFERROR(IF(OR($C98="",P$91="",P$91&gt;c_RefDate),NA(),IF(ISNUMBER(INDEX(db_Vals,MATCH(P$91,db_Dates,0),$B98)),INDEX(db_Vals,MATCH(P$91,db_Dates,0),$B98),NA())),NA())</f>
        <v>#N/A</v>
      </c>
      <c r="Q98" t="e">
        <f>IFERROR(IF(OR($C98="",Q$91="",Q$91&gt;c_RefDate),NA(),IF(ISNUMBER(INDEX(db_Vals,MATCH(Q$91,db_Dates,0),$B98)),INDEX(db_Vals,MATCH(Q$91,db_Dates,0),$B98),NA())),NA())</f>
        <v>#N/A</v>
      </c>
      <c r="R98" t="e">
        <f>IFERROR(IF(OR($C98="",R$91="",R$91&gt;c_RefDate),NA(),IF(ISNUMBER(INDEX(db_Vals,MATCH(R$91,db_Dates,0),$B98)),INDEX(db_Vals,MATCH(R$91,db_Dates,0),$B98),NA())),NA())</f>
        <v>#N/A</v>
      </c>
      <c r="S98" t="e">
        <f>IFERROR(IF(OR($C98="",S$91="",S$91&gt;c_RefDate),NA(),IF(ISNUMBER(INDEX(db_Vals,MATCH(S$91,db_Dates,0),$B98)),INDEX(db_Vals,MATCH(S$91,db_Dates,0),$B98),NA())),NA())</f>
        <v>#N/A</v>
      </c>
      <c r="T98" t="e">
        <f>IFERROR(IF(OR($C98="",T$91="",T$91&gt;c_RefDate),NA(),IF(ISNUMBER(INDEX(db_Vals,MATCH(T$91,db_Dates,0),$B98)),INDEX(db_Vals,MATCH(T$91,db_Dates,0),$B98),NA())),NA())</f>
        <v>#N/A</v>
      </c>
      <c r="U98" t="e">
        <f>IFERROR(IF(OR($C98="",U$91="",U$91&gt;c_RefDate),NA(),IF(ISNUMBER(INDEX(db_Vals,MATCH(U$91,db_Dates,0),$B98)),INDEX(db_Vals,MATCH(U$91,db_Dates,0),$B98),NA())),NA())</f>
        <v>#N/A</v>
      </c>
      <c r="V98" t="e">
        <f>IFERROR(IF(OR($C98="",V$91="",V$91&gt;c_RefDate),NA(),IF(ISNUMBER(INDEX(db_Vals,MATCH(V$91,db_Dates,0),$B98)),INDEX(db_Vals,MATCH(V$91,db_Dates,0),$B98),NA())),NA())</f>
        <v>#N/A</v>
      </c>
      <c r="W98" t="e">
        <f>IFERROR(IF(OR($C98="",W$91="",W$91&gt;c_RefDate),NA(),IF(ISNUMBER(INDEX(db_Vals,MATCH(W$91,db_Dates,0),$B98)),INDEX(db_Vals,MATCH(W$91,db_Dates,0),$B98),NA())),NA())</f>
        <v>#N/A</v>
      </c>
      <c r="X98" t="e">
        <f>IFERROR(IF(OR($C98="",X$91="",X$91&gt;c_RefDate),NA(),IF(ISNUMBER(INDEX(db_Vals,MATCH(X$91,db_Dates,0),$B98)),INDEX(db_Vals,MATCH(X$91,db_Dates,0),$B98),NA())),NA())</f>
        <v>#N/A</v>
      </c>
      <c r="Y98" t="e">
        <f>IFERROR(IF(OR($C98="",Y$91="",Y$91&gt;c_RefDate),NA(),IF(ISNUMBER(INDEX(db_Vals,MATCH(Y$91,db_Dates,0),$B98)),INDEX(db_Vals,MATCH(Y$91,db_Dates,0),$B98),NA())),NA())</f>
        <v>#N/A</v>
      </c>
      <c r="Z98" t="e">
        <f>IFERROR(IF(OR($C98="",Z$91="",Z$91&gt;c_RefDate),NA(),IF(ISNUMBER(INDEX(db_Vals,MATCH(Z$91,db_Dates,0),$B98)),INDEX(db_Vals,MATCH(Z$91,db_Dates,0),$B98),NA())),NA())</f>
        <v>#N/A</v>
      </c>
      <c r="AA98" t="e">
        <f>IFERROR(IF(OR($C98="",AA$91="",AA$91&gt;c_RefDate),NA(),IF(ISNUMBER(INDEX(db_Vals,MATCH(AA$91,db_Dates,0),$B98)),INDEX(db_Vals,MATCH(AA$91,db_Dates,0),$B98),NA())),NA())</f>
        <v>#N/A</v>
      </c>
      <c r="AB98" t="e">
        <f>IFERROR(IF(OR($C98="",AB$91="",AB$91&gt;c_RefDate),NA(),IF(ISNUMBER(INDEX(db_Vals,MATCH(AB$91,db_Dates,0),$B98)),INDEX(db_Vals,MATCH(AB$91,db_Dates,0),$B98),NA())),NA())</f>
        <v>#N/A</v>
      </c>
      <c r="AC98" t="e">
        <f>IFERROR(IF(OR($C98="",AC$91="",AC$91&gt;c_RefDate),NA(),IF(ISNUMBER(INDEX(db_Vals,MATCH(AC$91,db_Dates,0),$B98)),INDEX(db_Vals,MATCH(AC$91,db_Dates,0),$B98),NA())),NA())</f>
        <v>#N/A</v>
      </c>
      <c r="AD98" t="e">
        <f>IFERROR(IF(OR($C98="",AD$91="",AD$91&gt;c_RefDate),NA(),IF(ISNUMBER(INDEX(db_Vals,MATCH(AD$91,db_Dates,0),$B98)),INDEX(db_Vals,MATCH(AD$91,db_Dates,0),$B98),NA())),NA())</f>
        <v>#N/A</v>
      </c>
      <c r="AE98" t="e">
        <f>IFERROR(IF(OR($C98="",AE$91="",AE$91&gt;c_RefDate),NA(),IF(ISNUMBER(INDEX(db_Vals,MATCH(AE$91,db_Dates,0),$B98)),INDEX(db_Vals,MATCH(AE$91,db_Dates,0),$B98),NA())),NA())</f>
        <v>#N/A</v>
      </c>
      <c r="AF98" t="e">
        <f>IFERROR(IF(OR($C98="",AF$91="",AF$91&gt;c_RefDate),NA(),IF(ISNUMBER(INDEX(db_Vals,MATCH(AF$91,db_Dates,0),$B98)),INDEX(db_Vals,MATCH(AF$91,db_Dates,0),$B98),NA())),NA())</f>
        <v>#N/A</v>
      </c>
      <c r="AG98" t="e">
        <f>IFERROR(IF(OR($C98="",AG$91="",AG$91&gt;c_RefDate),NA(),IF(ISNUMBER(INDEX(db_Vals,MATCH(AG$91,db_Dates,0),$B98)),INDEX(db_Vals,MATCH(AG$91,db_Dates,0),$B98),NA())),NA())</f>
        <v>#N/A</v>
      </c>
      <c r="AH98" t="e">
        <f>IFERROR(IF(OR($C98="",AH$91="",AH$91&gt;c_RefDate),NA(),IF(ISNUMBER(INDEX(db_Vals,MATCH(AH$91,db_Dates,0),$B98)),INDEX(db_Vals,MATCH(AH$91,db_Dates,0),$B98),NA())),NA())</f>
        <v>#N/A</v>
      </c>
      <c r="AI98" t="e">
        <f>IFERROR(IF(OR($C98="",AI$91="",AI$91&gt;c_RefDate),NA(),IF(ISNUMBER(INDEX(db_Vals,MATCH(AI$91,db_Dates,0),$B98)),INDEX(db_Vals,MATCH(AI$91,db_Dates,0),$B98),NA())),NA())</f>
        <v>#N/A</v>
      </c>
      <c r="AJ98" t="e">
        <f>IFERROR(IF(OR($C98="",AJ$91="",AJ$91&gt;c_RefDate),NA(),IF(ISNUMBER(INDEX(db_Vals,MATCH(AJ$91,db_Dates,0),$B98)),INDEX(db_Vals,MATCH(AJ$91,db_Dates,0),$B98),NA())),NA())</f>
        <v>#N/A</v>
      </c>
      <c r="AK98" t="e">
        <f>IFERROR(IF(OR($C98="",AK$91="",AK$91&gt;c_RefDate),NA(),IF(ISNUMBER(INDEX(db_Vals,MATCH(AK$91,db_Dates,0),$B98)),INDEX(db_Vals,MATCH(AK$91,db_Dates,0),$B98),NA())),NA())</f>
        <v>#N/A</v>
      </c>
      <c r="AL98" t="e">
        <f>IFERROR(IF(OR($C98="",AL$91="",AL$91&gt;c_RefDate),NA(),IF(ISNUMBER(INDEX(db_Vals,MATCH(AL$91,db_Dates,0),$B98)),INDEX(db_Vals,MATCH(AL$91,db_Dates,0),$B98),NA())),NA())</f>
        <v>#N/A</v>
      </c>
      <c r="AM98" t="e">
        <f>IFERROR(IF(OR($C98="",AM$91="",AM$91&gt;c_RefDate),NA(),IF(ISNUMBER(INDEX(db_Vals,MATCH(AM$91,db_Dates,0),$B98)),INDEX(db_Vals,MATCH(AM$91,db_Dates,0),$B98),NA())),NA())</f>
        <v>#N/A</v>
      </c>
      <c r="AN98" t="e">
        <f>IFERROR(IF(OR($C98="",AN$91="",AN$91&gt;c_RefDate),NA(),IF(ISNUMBER(INDEX(db_Vals,MATCH(AN$91,db_Dates,0),$B98)),INDEX(db_Vals,MATCH(AN$91,db_Dates,0),$B98),NA())),NA())</f>
        <v>#N/A</v>
      </c>
      <c r="AO98" t="e">
        <f>IFERROR(IF(OR($C98="",AO$91="",AO$91&gt;c_RefDate),NA(),IF(ISNUMBER(INDEX(db_Vals,MATCH(AO$91,db_Dates,0),$B98)),INDEX(db_Vals,MATCH(AO$91,db_Dates,0),$B98),NA())),NA())</f>
        <v>#N/A</v>
      </c>
      <c r="AP98" t="e">
        <f>IFERROR(IF(OR($C98="",AP$91="",AP$91&gt;c_RefDate),NA(),IF(ISNUMBER(INDEX(db_Vals,MATCH(AP$91,db_Dates,0),$B98)),INDEX(db_Vals,MATCH(AP$91,db_Dates,0),$B98),NA())),NA())</f>
        <v>#N/A</v>
      </c>
    </row>
    <row r="99" spans="1:42">
      <c r="A99">
        <v>8</v>
      </c>
      <c r="B99">
        <f>MATCH(LARGE($J$46:$J$85,$A99),$J$46:$J$85,0)</f>
        <v>8.0</v>
      </c>
      <c r="C99" t="str">
        <f>INDEX($B$46:$B$85,$B99)</f>
        <v/>
      </c>
      <c r="D99" t="str">
        <f>INDEX($E$46:$E$85,$B99)</f>
        <v/>
      </c>
      <c r="E99">
        <f>INDEX($I$46:$I$85,$B99)</f>
        <v>-1.0</v>
      </c>
      <c r="F99" t="str">
        <f>INDEX($H$46:$H$85,$B99)</f>
        <v/>
      </c>
      <c r="G99">
        <f>INDEX($K$46:$K$85,$B99)</f>
        <v>0.0</v>
      </c>
      <c r="H99" s="130">
        <f>INDEX($D$46:$D$85,$B99)</f>
        <v>0.0</v>
      </c>
      <c r="L99" t="e">
        <f>IFERROR(IF(OR($C99="",L$91="",L$91&gt;c_RefDate),NA(),IF(ISNUMBER(INDEX(db_Vals,MATCH(L$91,db_Dates,0),$B99)),INDEX(db_Vals,MATCH(L$91,db_Dates,0),$B99),NA())),NA())</f>
        <v>#N/A</v>
      </c>
      <c r="M99" t="e">
        <f>IFERROR(IF(OR($C99="",M$91="",M$91&gt;c_RefDate),NA(),IF(ISNUMBER(INDEX(db_Vals,MATCH(M$91,db_Dates,0),$B99)),INDEX(db_Vals,MATCH(M$91,db_Dates,0),$B99),NA())),NA())</f>
        <v>#N/A</v>
      </c>
      <c r="N99" t="e">
        <f>IFERROR(IF(OR($C99="",N$91="",N$91&gt;c_RefDate),NA(),IF(ISNUMBER(INDEX(db_Vals,MATCH(N$91,db_Dates,0),$B99)),INDEX(db_Vals,MATCH(N$91,db_Dates,0),$B99),NA())),NA())</f>
        <v>#N/A</v>
      </c>
      <c r="O99" t="e">
        <f>IFERROR(IF(OR($C99="",O$91="",O$91&gt;c_RefDate),NA(),IF(ISNUMBER(INDEX(db_Vals,MATCH(O$91,db_Dates,0),$B99)),INDEX(db_Vals,MATCH(O$91,db_Dates,0),$B99),NA())),NA())</f>
        <v>#N/A</v>
      </c>
      <c r="P99" t="e">
        <f>IFERROR(IF(OR($C99="",P$91="",P$91&gt;c_RefDate),NA(),IF(ISNUMBER(INDEX(db_Vals,MATCH(P$91,db_Dates,0),$B99)),INDEX(db_Vals,MATCH(P$91,db_Dates,0),$B99),NA())),NA())</f>
        <v>#N/A</v>
      </c>
      <c r="Q99" t="e">
        <f>IFERROR(IF(OR($C99="",Q$91="",Q$91&gt;c_RefDate),NA(),IF(ISNUMBER(INDEX(db_Vals,MATCH(Q$91,db_Dates,0),$B99)),INDEX(db_Vals,MATCH(Q$91,db_Dates,0),$B99),NA())),NA())</f>
        <v>#N/A</v>
      </c>
      <c r="R99" t="e">
        <f>IFERROR(IF(OR($C99="",R$91="",R$91&gt;c_RefDate),NA(),IF(ISNUMBER(INDEX(db_Vals,MATCH(R$91,db_Dates,0),$B99)),INDEX(db_Vals,MATCH(R$91,db_Dates,0),$B99),NA())),NA())</f>
        <v>#N/A</v>
      </c>
      <c r="S99" t="e">
        <f>IFERROR(IF(OR($C99="",S$91="",S$91&gt;c_RefDate),NA(),IF(ISNUMBER(INDEX(db_Vals,MATCH(S$91,db_Dates,0),$B99)),INDEX(db_Vals,MATCH(S$91,db_Dates,0),$B99),NA())),NA())</f>
        <v>#N/A</v>
      </c>
      <c r="T99" t="e">
        <f>IFERROR(IF(OR($C99="",T$91="",T$91&gt;c_RefDate),NA(),IF(ISNUMBER(INDEX(db_Vals,MATCH(T$91,db_Dates,0),$B99)),INDEX(db_Vals,MATCH(T$91,db_Dates,0),$B99),NA())),NA())</f>
        <v>#N/A</v>
      </c>
      <c r="U99" t="e">
        <f>IFERROR(IF(OR($C99="",U$91="",U$91&gt;c_RefDate),NA(),IF(ISNUMBER(INDEX(db_Vals,MATCH(U$91,db_Dates,0),$B99)),INDEX(db_Vals,MATCH(U$91,db_Dates,0),$B99),NA())),NA())</f>
        <v>#N/A</v>
      </c>
      <c r="V99" t="e">
        <f>IFERROR(IF(OR($C99="",V$91="",V$91&gt;c_RefDate),NA(),IF(ISNUMBER(INDEX(db_Vals,MATCH(V$91,db_Dates,0),$B99)),INDEX(db_Vals,MATCH(V$91,db_Dates,0),$B99),NA())),NA())</f>
        <v>#N/A</v>
      </c>
      <c r="W99" t="e">
        <f>IFERROR(IF(OR($C99="",W$91="",W$91&gt;c_RefDate),NA(),IF(ISNUMBER(INDEX(db_Vals,MATCH(W$91,db_Dates,0),$B99)),INDEX(db_Vals,MATCH(W$91,db_Dates,0),$B99),NA())),NA())</f>
        <v>#N/A</v>
      </c>
      <c r="X99" t="e">
        <f>IFERROR(IF(OR($C99="",X$91="",X$91&gt;c_RefDate),NA(),IF(ISNUMBER(INDEX(db_Vals,MATCH(X$91,db_Dates,0),$B99)),INDEX(db_Vals,MATCH(X$91,db_Dates,0),$B99),NA())),NA())</f>
        <v>#N/A</v>
      </c>
      <c r="Y99" t="e">
        <f>IFERROR(IF(OR($C99="",Y$91="",Y$91&gt;c_RefDate),NA(),IF(ISNUMBER(INDEX(db_Vals,MATCH(Y$91,db_Dates,0),$B99)),INDEX(db_Vals,MATCH(Y$91,db_Dates,0),$B99),NA())),NA())</f>
        <v>#N/A</v>
      </c>
      <c r="Z99" t="e">
        <f>IFERROR(IF(OR($C99="",Z$91="",Z$91&gt;c_RefDate),NA(),IF(ISNUMBER(INDEX(db_Vals,MATCH(Z$91,db_Dates,0),$B99)),INDEX(db_Vals,MATCH(Z$91,db_Dates,0),$B99),NA())),NA())</f>
        <v>#N/A</v>
      </c>
      <c r="AA99" t="e">
        <f>IFERROR(IF(OR($C99="",AA$91="",AA$91&gt;c_RefDate),NA(),IF(ISNUMBER(INDEX(db_Vals,MATCH(AA$91,db_Dates,0),$B99)),INDEX(db_Vals,MATCH(AA$91,db_Dates,0),$B99),NA())),NA())</f>
        <v>#N/A</v>
      </c>
      <c r="AB99" t="e">
        <f>IFERROR(IF(OR($C99="",AB$91="",AB$91&gt;c_RefDate),NA(),IF(ISNUMBER(INDEX(db_Vals,MATCH(AB$91,db_Dates,0),$B99)),INDEX(db_Vals,MATCH(AB$91,db_Dates,0),$B99),NA())),NA())</f>
        <v>#N/A</v>
      </c>
      <c r="AC99" t="e">
        <f>IFERROR(IF(OR($C99="",AC$91="",AC$91&gt;c_RefDate),NA(),IF(ISNUMBER(INDEX(db_Vals,MATCH(AC$91,db_Dates,0),$B99)),INDEX(db_Vals,MATCH(AC$91,db_Dates,0),$B99),NA())),NA())</f>
        <v>#N/A</v>
      </c>
      <c r="AD99" t="e">
        <f>IFERROR(IF(OR($C99="",AD$91="",AD$91&gt;c_RefDate),NA(),IF(ISNUMBER(INDEX(db_Vals,MATCH(AD$91,db_Dates,0),$B99)),INDEX(db_Vals,MATCH(AD$91,db_Dates,0),$B99),NA())),NA())</f>
        <v>#N/A</v>
      </c>
      <c r="AE99" t="e">
        <f>IFERROR(IF(OR($C99="",AE$91="",AE$91&gt;c_RefDate),NA(),IF(ISNUMBER(INDEX(db_Vals,MATCH(AE$91,db_Dates,0),$B99)),INDEX(db_Vals,MATCH(AE$91,db_Dates,0),$B99),NA())),NA())</f>
        <v>#N/A</v>
      </c>
      <c r="AF99" t="e">
        <f>IFERROR(IF(OR($C99="",AF$91="",AF$91&gt;c_RefDate),NA(),IF(ISNUMBER(INDEX(db_Vals,MATCH(AF$91,db_Dates,0),$B99)),INDEX(db_Vals,MATCH(AF$91,db_Dates,0),$B99),NA())),NA())</f>
        <v>#N/A</v>
      </c>
      <c r="AG99" t="e">
        <f>IFERROR(IF(OR($C99="",AG$91="",AG$91&gt;c_RefDate),NA(),IF(ISNUMBER(INDEX(db_Vals,MATCH(AG$91,db_Dates,0),$B99)),INDEX(db_Vals,MATCH(AG$91,db_Dates,0),$B99),NA())),NA())</f>
        <v>#N/A</v>
      </c>
      <c r="AH99" t="e">
        <f>IFERROR(IF(OR($C99="",AH$91="",AH$91&gt;c_RefDate),NA(),IF(ISNUMBER(INDEX(db_Vals,MATCH(AH$91,db_Dates,0),$B99)),INDEX(db_Vals,MATCH(AH$91,db_Dates,0),$B99),NA())),NA())</f>
        <v>#N/A</v>
      </c>
      <c r="AI99" t="e">
        <f>IFERROR(IF(OR($C99="",AI$91="",AI$91&gt;c_RefDate),NA(),IF(ISNUMBER(INDEX(db_Vals,MATCH(AI$91,db_Dates,0),$B99)),INDEX(db_Vals,MATCH(AI$91,db_Dates,0),$B99),NA())),NA())</f>
        <v>#N/A</v>
      </c>
      <c r="AJ99" t="e">
        <f>IFERROR(IF(OR($C99="",AJ$91="",AJ$91&gt;c_RefDate),NA(),IF(ISNUMBER(INDEX(db_Vals,MATCH(AJ$91,db_Dates,0),$B99)),INDEX(db_Vals,MATCH(AJ$91,db_Dates,0),$B99),NA())),NA())</f>
        <v>#N/A</v>
      </c>
      <c r="AK99" t="e">
        <f>IFERROR(IF(OR($C99="",AK$91="",AK$91&gt;c_RefDate),NA(),IF(ISNUMBER(INDEX(db_Vals,MATCH(AK$91,db_Dates,0),$B99)),INDEX(db_Vals,MATCH(AK$91,db_Dates,0),$B99),NA())),NA())</f>
        <v>#N/A</v>
      </c>
      <c r="AL99" t="e">
        <f>IFERROR(IF(OR($C99="",AL$91="",AL$91&gt;c_RefDate),NA(),IF(ISNUMBER(INDEX(db_Vals,MATCH(AL$91,db_Dates,0),$B99)),INDEX(db_Vals,MATCH(AL$91,db_Dates,0),$B99),NA())),NA())</f>
        <v>#N/A</v>
      </c>
      <c r="AM99" t="e">
        <f>IFERROR(IF(OR($C99="",AM$91="",AM$91&gt;c_RefDate),NA(),IF(ISNUMBER(INDEX(db_Vals,MATCH(AM$91,db_Dates,0),$B99)),INDEX(db_Vals,MATCH(AM$91,db_Dates,0),$B99),NA())),NA())</f>
        <v>#N/A</v>
      </c>
      <c r="AN99" t="e">
        <f>IFERROR(IF(OR($C99="",AN$91="",AN$91&gt;c_RefDate),NA(),IF(ISNUMBER(INDEX(db_Vals,MATCH(AN$91,db_Dates,0),$B99)),INDEX(db_Vals,MATCH(AN$91,db_Dates,0),$B99),NA())),NA())</f>
        <v>#N/A</v>
      </c>
      <c r="AO99" t="e">
        <f>IFERROR(IF(OR($C99="",AO$91="",AO$91&gt;c_RefDate),NA(),IF(ISNUMBER(INDEX(db_Vals,MATCH(AO$91,db_Dates,0),$B99)),INDEX(db_Vals,MATCH(AO$91,db_Dates,0),$B99),NA())),NA())</f>
        <v>#N/A</v>
      </c>
      <c r="AP99" t="e">
        <f>IFERROR(IF(OR($C99="",AP$91="",AP$91&gt;c_RefDate),NA(),IF(ISNUMBER(INDEX(db_Vals,MATCH(AP$91,db_Dates,0),$B99)),INDEX(db_Vals,MATCH(AP$91,db_Dates,0),$B99),NA())),NA())</f>
        <v>#N/A</v>
      </c>
    </row>
    <row r="100" spans="1:42">
      <c r="A100">
        <v>9</v>
      </c>
      <c r="B100">
        <f>MATCH(LARGE($J$46:$J$85,$A100),$J$46:$J$85,0)</f>
        <v>9.0</v>
      </c>
      <c r="C100" t="str">
        <f>INDEX($B$46:$B$85,$B100)</f>
        <v/>
      </c>
      <c r="D100" t="str">
        <f>INDEX($E$46:$E$85,$B100)</f>
        <v/>
      </c>
      <c r="E100">
        <f>INDEX($I$46:$I$85,$B100)</f>
        <v>-1.0</v>
      </c>
      <c r="F100" t="str">
        <f>INDEX($H$46:$H$85,$B100)</f>
        <v/>
      </c>
      <c r="G100">
        <f>INDEX($K$46:$K$85,$B100)</f>
        <v>0.0</v>
      </c>
      <c r="H100" s="130">
        <f>INDEX($D$46:$D$85,$B100)</f>
        <v>0.0</v>
      </c>
      <c r="L100" t="e">
        <f>IFERROR(IF(OR($C100="",L$91="",L$91&gt;c_RefDate),NA(),IF(ISNUMBER(INDEX(db_Vals,MATCH(L$91,db_Dates,0),$B100)),INDEX(db_Vals,MATCH(L$91,db_Dates,0),$B100),NA())),NA())</f>
        <v>#N/A</v>
      </c>
      <c r="M100" t="e">
        <f>IFERROR(IF(OR($C100="",M$91="",M$91&gt;c_RefDate),NA(),IF(ISNUMBER(INDEX(db_Vals,MATCH(M$91,db_Dates,0),$B100)),INDEX(db_Vals,MATCH(M$91,db_Dates,0),$B100),NA())),NA())</f>
        <v>#N/A</v>
      </c>
      <c r="N100" t="e">
        <f>IFERROR(IF(OR($C100="",N$91="",N$91&gt;c_RefDate),NA(),IF(ISNUMBER(INDEX(db_Vals,MATCH(N$91,db_Dates,0),$B100)),INDEX(db_Vals,MATCH(N$91,db_Dates,0),$B100),NA())),NA())</f>
        <v>#N/A</v>
      </c>
      <c r="O100" t="e">
        <f>IFERROR(IF(OR($C100="",O$91="",O$91&gt;c_RefDate),NA(),IF(ISNUMBER(INDEX(db_Vals,MATCH(O$91,db_Dates,0),$B100)),INDEX(db_Vals,MATCH(O$91,db_Dates,0),$B100),NA())),NA())</f>
        <v>#N/A</v>
      </c>
      <c r="P100" t="e">
        <f>IFERROR(IF(OR($C100="",P$91="",P$91&gt;c_RefDate),NA(),IF(ISNUMBER(INDEX(db_Vals,MATCH(P$91,db_Dates,0),$B100)),INDEX(db_Vals,MATCH(P$91,db_Dates,0),$B100),NA())),NA())</f>
        <v>#N/A</v>
      </c>
      <c r="Q100" t="e">
        <f>IFERROR(IF(OR($C100="",Q$91="",Q$91&gt;c_RefDate),NA(),IF(ISNUMBER(INDEX(db_Vals,MATCH(Q$91,db_Dates,0),$B100)),INDEX(db_Vals,MATCH(Q$91,db_Dates,0),$B100),NA())),NA())</f>
        <v>#N/A</v>
      </c>
      <c r="R100" t="e">
        <f>IFERROR(IF(OR($C100="",R$91="",R$91&gt;c_RefDate),NA(),IF(ISNUMBER(INDEX(db_Vals,MATCH(R$91,db_Dates,0),$B100)),INDEX(db_Vals,MATCH(R$91,db_Dates,0),$B100),NA())),NA())</f>
        <v>#N/A</v>
      </c>
      <c r="S100" t="e">
        <f>IFERROR(IF(OR($C100="",S$91="",S$91&gt;c_RefDate),NA(),IF(ISNUMBER(INDEX(db_Vals,MATCH(S$91,db_Dates,0),$B100)),INDEX(db_Vals,MATCH(S$91,db_Dates,0),$B100),NA())),NA())</f>
        <v>#N/A</v>
      </c>
      <c r="T100" t="e">
        <f>IFERROR(IF(OR($C100="",T$91="",T$91&gt;c_RefDate),NA(),IF(ISNUMBER(INDEX(db_Vals,MATCH(T$91,db_Dates,0),$B100)),INDEX(db_Vals,MATCH(T$91,db_Dates,0),$B100),NA())),NA())</f>
        <v>#N/A</v>
      </c>
      <c r="U100" t="e">
        <f>IFERROR(IF(OR($C100="",U$91="",U$91&gt;c_RefDate),NA(),IF(ISNUMBER(INDEX(db_Vals,MATCH(U$91,db_Dates,0),$B100)),INDEX(db_Vals,MATCH(U$91,db_Dates,0),$B100),NA())),NA())</f>
        <v>#N/A</v>
      </c>
      <c r="V100" t="e">
        <f>IFERROR(IF(OR($C100="",V$91="",V$91&gt;c_RefDate),NA(),IF(ISNUMBER(INDEX(db_Vals,MATCH(V$91,db_Dates,0),$B100)),INDEX(db_Vals,MATCH(V$91,db_Dates,0),$B100),NA())),NA())</f>
        <v>#N/A</v>
      </c>
      <c r="W100" t="e">
        <f>IFERROR(IF(OR($C100="",W$91="",W$91&gt;c_RefDate),NA(),IF(ISNUMBER(INDEX(db_Vals,MATCH(W$91,db_Dates,0),$B100)),INDEX(db_Vals,MATCH(W$91,db_Dates,0),$B100),NA())),NA())</f>
        <v>#N/A</v>
      </c>
      <c r="X100" t="e">
        <f>IFERROR(IF(OR($C100="",X$91="",X$91&gt;c_RefDate),NA(),IF(ISNUMBER(INDEX(db_Vals,MATCH(X$91,db_Dates,0),$B100)),INDEX(db_Vals,MATCH(X$91,db_Dates,0),$B100),NA())),NA())</f>
        <v>#N/A</v>
      </c>
      <c r="Y100" t="e">
        <f>IFERROR(IF(OR($C100="",Y$91="",Y$91&gt;c_RefDate),NA(),IF(ISNUMBER(INDEX(db_Vals,MATCH(Y$91,db_Dates,0),$B100)),INDEX(db_Vals,MATCH(Y$91,db_Dates,0),$B100),NA())),NA())</f>
        <v>#N/A</v>
      </c>
      <c r="Z100" t="e">
        <f>IFERROR(IF(OR($C100="",Z$91="",Z$91&gt;c_RefDate),NA(),IF(ISNUMBER(INDEX(db_Vals,MATCH(Z$91,db_Dates,0),$B100)),INDEX(db_Vals,MATCH(Z$91,db_Dates,0),$B100),NA())),NA())</f>
        <v>#N/A</v>
      </c>
      <c r="AA100" t="e">
        <f>IFERROR(IF(OR($C100="",AA$91="",AA$91&gt;c_RefDate),NA(),IF(ISNUMBER(INDEX(db_Vals,MATCH(AA$91,db_Dates,0),$B100)),INDEX(db_Vals,MATCH(AA$91,db_Dates,0),$B100),NA())),NA())</f>
        <v>#N/A</v>
      </c>
      <c r="AB100" t="e">
        <f>IFERROR(IF(OR($C100="",AB$91="",AB$91&gt;c_RefDate),NA(),IF(ISNUMBER(INDEX(db_Vals,MATCH(AB$91,db_Dates,0),$B100)),INDEX(db_Vals,MATCH(AB$91,db_Dates,0),$B100),NA())),NA())</f>
        <v>#N/A</v>
      </c>
      <c r="AC100" t="e">
        <f>IFERROR(IF(OR($C100="",AC$91="",AC$91&gt;c_RefDate),NA(),IF(ISNUMBER(INDEX(db_Vals,MATCH(AC$91,db_Dates,0),$B100)),INDEX(db_Vals,MATCH(AC$91,db_Dates,0),$B100),NA())),NA())</f>
        <v>#N/A</v>
      </c>
      <c r="AD100" t="e">
        <f>IFERROR(IF(OR($C100="",AD$91="",AD$91&gt;c_RefDate),NA(),IF(ISNUMBER(INDEX(db_Vals,MATCH(AD$91,db_Dates,0),$B100)),INDEX(db_Vals,MATCH(AD$91,db_Dates,0),$B100),NA())),NA())</f>
        <v>#N/A</v>
      </c>
      <c r="AE100" t="e">
        <f>IFERROR(IF(OR($C100="",AE$91="",AE$91&gt;c_RefDate),NA(),IF(ISNUMBER(INDEX(db_Vals,MATCH(AE$91,db_Dates,0),$B100)),INDEX(db_Vals,MATCH(AE$91,db_Dates,0),$B100),NA())),NA())</f>
        <v>#N/A</v>
      </c>
      <c r="AF100" t="e">
        <f>IFERROR(IF(OR($C100="",AF$91="",AF$91&gt;c_RefDate),NA(),IF(ISNUMBER(INDEX(db_Vals,MATCH(AF$91,db_Dates,0),$B100)),INDEX(db_Vals,MATCH(AF$91,db_Dates,0),$B100),NA())),NA())</f>
        <v>#N/A</v>
      </c>
      <c r="AG100" t="e">
        <f>IFERROR(IF(OR($C100="",AG$91="",AG$91&gt;c_RefDate),NA(),IF(ISNUMBER(INDEX(db_Vals,MATCH(AG$91,db_Dates,0),$B100)),INDEX(db_Vals,MATCH(AG$91,db_Dates,0),$B100),NA())),NA())</f>
        <v>#N/A</v>
      </c>
      <c r="AH100" t="e">
        <f>IFERROR(IF(OR($C100="",AH$91="",AH$91&gt;c_RefDate),NA(),IF(ISNUMBER(INDEX(db_Vals,MATCH(AH$91,db_Dates,0),$B100)),INDEX(db_Vals,MATCH(AH$91,db_Dates,0),$B100),NA())),NA())</f>
        <v>#N/A</v>
      </c>
      <c r="AI100" t="e">
        <f>IFERROR(IF(OR($C100="",AI$91="",AI$91&gt;c_RefDate),NA(),IF(ISNUMBER(INDEX(db_Vals,MATCH(AI$91,db_Dates,0),$B100)),INDEX(db_Vals,MATCH(AI$91,db_Dates,0),$B100),NA())),NA())</f>
        <v>#N/A</v>
      </c>
      <c r="AJ100" t="e">
        <f>IFERROR(IF(OR($C100="",AJ$91="",AJ$91&gt;c_RefDate),NA(),IF(ISNUMBER(INDEX(db_Vals,MATCH(AJ$91,db_Dates,0),$B100)),INDEX(db_Vals,MATCH(AJ$91,db_Dates,0),$B100),NA())),NA())</f>
        <v>#N/A</v>
      </c>
      <c r="AK100" t="e">
        <f>IFERROR(IF(OR($C100="",AK$91="",AK$91&gt;c_RefDate),NA(),IF(ISNUMBER(INDEX(db_Vals,MATCH(AK$91,db_Dates,0),$B100)),INDEX(db_Vals,MATCH(AK$91,db_Dates,0),$B100),NA())),NA())</f>
        <v>#N/A</v>
      </c>
      <c r="AL100" t="e">
        <f>IFERROR(IF(OR($C100="",AL$91="",AL$91&gt;c_RefDate),NA(),IF(ISNUMBER(INDEX(db_Vals,MATCH(AL$91,db_Dates,0),$B100)),INDEX(db_Vals,MATCH(AL$91,db_Dates,0),$B100),NA())),NA())</f>
        <v>#N/A</v>
      </c>
      <c r="AM100" t="e">
        <f>IFERROR(IF(OR($C100="",AM$91="",AM$91&gt;c_RefDate),NA(),IF(ISNUMBER(INDEX(db_Vals,MATCH(AM$91,db_Dates,0),$B100)),INDEX(db_Vals,MATCH(AM$91,db_Dates,0),$B100),NA())),NA())</f>
        <v>#N/A</v>
      </c>
      <c r="AN100" t="e">
        <f>IFERROR(IF(OR($C100="",AN$91="",AN$91&gt;c_RefDate),NA(),IF(ISNUMBER(INDEX(db_Vals,MATCH(AN$91,db_Dates,0),$B100)),INDEX(db_Vals,MATCH(AN$91,db_Dates,0),$B100),NA())),NA())</f>
        <v>#N/A</v>
      </c>
      <c r="AO100" t="e">
        <f>IFERROR(IF(OR($C100="",AO$91="",AO$91&gt;c_RefDate),NA(),IF(ISNUMBER(INDEX(db_Vals,MATCH(AO$91,db_Dates,0),$B100)),INDEX(db_Vals,MATCH(AO$91,db_Dates,0),$B100),NA())),NA())</f>
        <v>#N/A</v>
      </c>
      <c r="AP100" t="e">
        <f>IFERROR(IF(OR($C100="",AP$91="",AP$91&gt;c_RefDate),NA(),IF(ISNUMBER(INDEX(db_Vals,MATCH(AP$91,db_Dates,0),$B100)),INDEX(db_Vals,MATCH(AP$91,db_Dates,0),$B100),NA())),NA())</f>
        <v>#N/A</v>
      </c>
    </row>
    <row r="101" spans="1:42">
      <c r="A101">
        <v>10</v>
      </c>
      <c r="B101">
        <f>MATCH(LARGE($J$46:$J$85,$A101),$J$46:$J$85,0)</f>
        <v>10.0</v>
      </c>
      <c r="C101" t="str">
        <f>INDEX($B$46:$B$85,$B101)</f>
        <v/>
      </c>
      <c r="D101" t="str">
        <f>INDEX($E$46:$E$85,$B101)</f>
        <v/>
      </c>
      <c r="E101">
        <f>INDEX($I$46:$I$85,$B101)</f>
        <v>-1.0</v>
      </c>
      <c r="F101" t="str">
        <f>INDEX($H$46:$H$85,$B101)</f>
        <v/>
      </c>
      <c r="G101">
        <f>INDEX($K$46:$K$85,$B101)</f>
        <v>0.0</v>
      </c>
      <c r="H101" s="130">
        <f>INDEX($D$46:$D$85,$B101)</f>
        <v>0.0</v>
      </c>
      <c r="L101" t="e">
        <f>IFERROR(IF(OR($C101="",L$91="",L$91&gt;c_RefDate),NA(),IF(ISNUMBER(INDEX(db_Vals,MATCH(L$91,db_Dates,0),$B101)),INDEX(db_Vals,MATCH(L$91,db_Dates,0),$B101),NA())),NA())</f>
        <v>#N/A</v>
      </c>
      <c r="M101" t="e">
        <f>IFERROR(IF(OR($C101="",M$91="",M$91&gt;c_RefDate),NA(),IF(ISNUMBER(INDEX(db_Vals,MATCH(M$91,db_Dates,0),$B101)),INDEX(db_Vals,MATCH(M$91,db_Dates,0),$B101),NA())),NA())</f>
        <v>#N/A</v>
      </c>
      <c r="N101" t="e">
        <f>IFERROR(IF(OR($C101="",N$91="",N$91&gt;c_RefDate),NA(),IF(ISNUMBER(INDEX(db_Vals,MATCH(N$91,db_Dates,0),$B101)),INDEX(db_Vals,MATCH(N$91,db_Dates,0),$B101),NA())),NA())</f>
        <v>#N/A</v>
      </c>
      <c r="O101" t="e">
        <f>IFERROR(IF(OR($C101="",O$91="",O$91&gt;c_RefDate),NA(),IF(ISNUMBER(INDEX(db_Vals,MATCH(O$91,db_Dates,0),$B101)),INDEX(db_Vals,MATCH(O$91,db_Dates,0),$B101),NA())),NA())</f>
        <v>#N/A</v>
      </c>
      <c r="P101" t="e">
        <f>IFERROR(IF(OR($C101="",P$91="",P$91&gt;c_RefDate),NA(),IF(ISNUMBER(INDEX(db_Vals,MATCH(P$91,db_Dates,0),$B101)),INDEX(db_Vals,MATCH(P$91,db_Dates,0),$B101),NA())),NA())</f>
        <v>#N/A</v>
      </c>
      <c r="Q101" t="e">
        <f>IFERROR(IF(OR($C101="",Q$91="",Q$91&gt;c_RefDate),NA(),IF(ISNUMBER(INDEX(db_Vals,MATCH(Q$91,db_Dates,0),$B101)),INDEX(db_Vals,MATCH(Q$91,db_Dates,0),$B101),NA())),NA())</f>
        <v>#N/A</v>
      </c>
      <c r="R101" t="e">
        <f>IFERROR(IF(OR($C101="",R$91="",R$91&gt;c_RefDate),NA(),IF(ISNUMBER(INDEX(db_Vals,MATCH(R$91,db_Dates,0),$B101)),INDEX(db_Vals,MATCH(R$91,db_Dates,0),$B101),NA())),NA())</f>
        <v>#N/A</v>
      </c>
      <c r="S101" t="e">
        <f>IFERROR(IF(OR($C101="",S$91="",S$91&gt;c_RefDate),NA(),IF(ISNUMBER(INDEX(db_Vals,MATCH(S$91,db_Dates,0),$B101)),INDEX(db_Vals,MATCH(S$91,db_Dates,0),$B101),NA())),NA())</f>
        <v>#N/A</v>
      </c>
      <c r="T101" t="e">
        <f>IFERROR(IF(OR($C101="",T$91="",T$91&gt;c_RefDate),NA(),IF(ISNUMBER(INDEX(db_Vals,MATCH(T$91,db_Dates,0),$B101)),INDEX(db_Vals,MATCH(T$91,db_Dates,0),$B101),NA())),NA())</f>
        <v>#N/A</v>
      </c>
      <c r="U101" t="e">
        <f>IFERROR(IF(OR($C101="",U$91="",U$91&gt;c_RefDate),NA(),IF(ISNUMBER(INDEX(db_Vals,MATCH(U$91,db_Dates,0),$B101)),INDEX(db_Vals,MATCH(U$91,db_Dates,0),$B101),NA())),NA())</f>
        <v>#N/A</v>
      </c>
      <c r="V101" t="e">
        <f>IFERROR(IF(OR($C101="",V$91="",V$91&gt;c_RefDate),NA(),IF(ISNUMBER(INDEX(db_Vals,MATCH(V$91,db_Dates,0),$B101)),INDEX(db_Vals,MATCH(V$91,db_Dates,0),$B101),NA())),NA())</f>
        <v>#N/A</v>
      </c>
      <c r="W101" t="e">
        <f>IFERROR(IF(OR($C101="",W$91="",W$91&gt;c_RefDate),NA(),IF(ISNUMBER(INDEX(db_Vals,MATCH(W$91,db_Dates,0),$B101)),INDEX(db_Vals,MATCH(W$91,db_Dates,0),$B101),NA())),NA())</f>
        <v>#N/A</v>
      </c>
      <c r="X101" t="e">
        <f>IFERROR(IF(OR($C101="",X$91="",X$91&gt;c_RefDate),NA(),IF(ISNUMBER(INDEX(db_Vals,MATCH(X$91,db_Dates,0),$B101)),INDEX(db_Vals,MATCH(X$91,db_Dates,0),$B101),NA())),NA())</f>
        <v>#N/A</v>
      </c>
      <c r="Y101" t="e">
        <f>IFERROR(IF(OR($C101="",Y$91="",Y$91&gt;c_RefDate),NA(),IF(ISNUMBER(INDEX(db_Vals,MATCH(Y$91,db_Dates,0),$B101)),INDEX(db_Vals,MATCH(Y$91,db_Dates,0),$B101),NA())),NA())</f>
        <v>#N/A</v>
      </c>
      <c r="Z101" t="e">
        <f>IFERROR(IF(OR($C101="",Z$91="",Z$91&gt;c_RefDate),NA(),IF(ISNUMBER(INDEX(db_Vals,MATCH(Z$91,db_Dates,0),$B101)),INDEX(db_Vals,MATCH(Z$91,db_Dates,0),$B101),NA())),NA())</f>
        <v>#N/A</v>
      </c>
      <c r="AA101" t="e">
        <f>IFERROR(IF(OR($C101="",AA$91="",AA$91&gt;c_RefDate),NA(),IF(ISNUMBER(INDEX(db_Vals,MATCH(AA$91,db_Dates,0),$B101)),INDEX(db_Vals,MATCH(AA$91,db_Dates,0),$B101),NA())),NA())</f>
        <v>#N/A</v>
      </c>
      <c r="AB101" t="e">
        <f>IFERROR(IF(OR($C101="",AB$91="",AB$91&gt;c_RefDate),NA(),IF(ISNUMBER(INDEX(db_Vals,MATCH(AB$91,db_Dates,0),$B101)),INDEX(db_Vals,MATCH(AB$91,db_Dates,0),$B101),NA())),NA())</f>
        <v>#N/A</v>
      </c>
      <c r="AC101" t="e">
        <f>IFERROR(IF(OR($C101="",AC$91="",AC$91&gt;c_RefDate),NA(),IF(ISNUMBER(INDEX(db_Vals,MATCH(AC$91,db_Dates,0),$B101)),INDEX(db_Vals,MATCH(AC$91,db_Dates,0),$B101),NA())),NA())</f>
        <v>#N/A</v>
      </c>
      <c r="AD101" t="e">
        <f>IFERROR(IF(OR($C101="",AD$91="",AD$91&gt;c_RefDate),NA(),IF(ISNUMBER(INDEX(db_Vals,MATCH(AD$91,db_Dates,0),$B101)),INDEX(db_Vals,MATCH(AD$91,db_Dates,0),$B101),NA())),NA())</f>
        <v>#N/A</v>
      </c>
      <c r="AE101" t="e">
        <f>IFERROR(IF(OR($C101="",AE$91="",AE$91&gt;c_RefDate),NA(),IF(ISNUMBER(INDEX(db_Vals,MATCH(AE$91,db_Dates,0),$B101)),INDEX(db_Vals,MATCH(AE$91,db_Dates,0),$B101),NA())),NA())</f>
        <v>#N/A</v>
      </c>
      <c r="AF101" t="e">
        <f>IFERROR(IF(OR($C101="",AF$91="",AF$91&gt;c_RefDate),NA(),IF(ISNUMBER(INDEX(db_Vals,MATCH(AF$91,db_Dates,0),$B101)),INDEX(db_Vals,MATCH(AF$91,db_Dates,0),$B101),NA())),NA())</f>
        <v>#N/A</v>
      </c>
      <c r="AG101" t="e">
        <f>IFERROR(IF(OR($C101="",AG$91="",AG$91&gt;c_RefDate),NA(),IF(ISNUMBER(INDEX(db_Vals,MATCH(AG$91,db_Dates,0),$B101)),INDEX(db_Vals,MATCH(AG$91,db_Dates,0),$B101),NA())),NA())</f>
        <v>#N/A</v>
      </c>
      <c r="AH101" t="e">
        <f>IFERROR(IF(OR($C101="",AH$91="",AH$91&gt;c_RefDate),NA(),IF(ISNUMBER(INDEX(db_Vals,MATCH(AH$91,db_Dates,0),$B101)),INDEX(db_Vals,MATCH(AH$91,db_Dates,0),$B101),NA())),NA())</f>
        <v>#N/A</v>
      </c>
      <c r="AI101" t="e">
        <f>IFERROR(IF(OR($C101="",AI$91="",AI$91&gt;c_RefDate),NA(),IF(ISNUMBER(INDEX(db_Vals,MATCH(AI$91,db_Dates,0),$B101)),INDEX(db_Vals,MATCH(AI$91,db_Dates,0),$B101),NA())),NA())</f>
        <v>#N/A</v>
      </c>
      <c r="AJ101" t="e">
        <f>IFERROR(IF(OR($C101="",AJ$91="",AJ$91&gt;c_RefDate),NA(),IF(ISNUMBER(INDEX(db_Vals,MATCH(AJ$91,db_Dates,0),$B101)),INDEX(db_Vals,MATCH(AJ$91,db_Dates,0),$B101),NA())),NA())</f>
        <v>#N/A</v>
      </c>
      <c r="AK101" t="e">
        <f>IFERROR(IF(OR($C101="",AK$91="",AK$91&gt;c_RefDate),NA(),IF(ISNUMBER(INDEX(db_Vals,MATCH(AK$91,db_Dates,0),$B101)),INDEX(db_Vals,MATCH(AK$91,db_Dates,0),$B101),NA())),NA())</f>
        <v>#N/A</v>
      </c>
      <c r="AL101" t="e">
        <f>IFERROR(IF(OR($C101="",AL$91="",AL$91&gt;c_RefDate),NA(),IF(ISNUMBER(INDEX(db_Vals,MATCH(AL$91,db_Dates,0),$B101)),INDEX(db_Vals,MATCH(AL$91,db_Dates,0),$B101),NA())),NA())</f>
        <v>#N/A</v>
      </c>
      <c r="AM101" t="e">
        <f>IFERROR(IF(OR($C101="",AM$91="",AM$91&gt;c_RefDate),NA(),IF(ISNUMBER(INDEX(db_Vals,MATCH(AM$91,db_Dates,0),$B101)),INDEX(db_Vals,MATCH(AM$91,db_Dates,0),$B101),NA())),NA())</f>
        <v>#N/A</v>
      </c>
      <c r="AN101" t="e">
        <f>IFERROR(IF(OR($C101="",AN$91="",AN$91&gt;c_RefDate),NA(),IF(ISNUMBER(INDEX(db_Vals,MATCH(AN$91,db_Dates,0),$B101)),INDEX(db_Vals,MATCH(AN$91,db_Dates,0),$B101),NA())),NA())</f>
        <v>#N/A</v>
      </c>
      <c r="AO101" t="e">
        <f>IFERROR(IF(OR($C101="",AO$91="",AO$91&gt;c_RefDate),NA(),IF(ISNUMBER(INDEX(db_Vals,MATCH(AO$91,db_Dates,0),$B101)),INDEX(db_Vals,MATCH(AO$91,db_Dates,0),$B101),NA())),NA())</f>
        <v>#N/A</v>
      </c>
      <c r="AP101" t="e">
        <f>IFERROR(IF(OR($C101="",AP$91="",AP$91&gt;c_RefDate),NA(),IF(ISNUMBER(INDEX(db_Vals,MATCH(AP$91,db_Dates,0),$B101)),INDEX(db_Vals,MATCH(AP$91,db_Dates,0),$B101),NA())),NA())</f>
        <v>#N/A</v>
      </c>
    </row>
    <row r="102" spans="1:42">
      <c r="A102">
        <v>11</v>
      </c>
      <c r="B102">
        <f>MATCH(LARGE($J$46:$J$85,$A102),$J$46:$J$85,0)</f>
        <v>11.0</v>
      </c>
      <c r="C102" t="str">
        <f>INDEX($B$46:$B$85,$B102)</f>
        <v/>
      </c>
      <c r="D102" t="str">
        <f>INDEX($E$46:$E$85,$B102)</f>
        <v/>
      </c>
      <c r="E102">
        <f>INDEX($I$46:$I$85,$B102)</f>
        <v>-1.0</v>
      </c>
      <c r="F102" t="str">
        <f>INDEX($H$46:$H$85,$B102)</f>
        <v/>
      </c>
      <c r="G102">
        <f>INDEX($K$46:$K$85,$B102)</f>
        <v>0.0</v>
      </c>
      <c r="H102" s="130">
        <f>INDEX($D$46:$D$85,$B102)</f>
        <v>0.0</v>
      </c>
      <c r="L102" t="e">
        <f>IFERROR(IF(OR($C102="",L$91="",L$91&gt;c_RefDate),NA(),IF(ISNUMBER(INDEX(db_Vals,MATCH(L$91,db_Dates,0),$B102)),INDEX(db_Vals,MATCH(L$91,db_Dates,0),$B102),NA())),NA())</f>
        <v>#N/A</v>
      </c>
      <c r="M102" t="e">
        <f>IFERROR(IF(OR($C102="",M$91="",M$91&gt;c_RefDate),NA(),IF(ISNUMBER(INDEX(db_Vals,MATCH(M$91,db_Dates,0),$B102)),INDEX(db_Vals,MATCH(M$91,db_Dates,0),$B102),NA())),NA())</f>
        <v>#N/A</v>
      </c>
      <c r="N102" t="e">
        <f>IFERROR(IF(OR($C102="",N$91="",N$91&gt;c_RefDate),NA(),IF(ISNUMBER(INDEX(db_Vals,MATCH(N$91,db_Dates,0),$B102)),INDEX(db_Vals,MATCH(N$91,db_Dates,0),$B102),NA())),NA())</f>
        <v>#N/A</v>
      </c>
      <c r="O102" t="e">
        <f>IFERROR(IF(OR($C102="",O$91="",O$91&gt;c_RefDate),NA(),IF(ISNUMBER(INDEX(db_Vals,MATCH(O$91,db_Dates,0),$B102)),INDEX(db_Vals,MATCH(O$91,db_Dates,0),$B102),NA())),NA())</f>
        <v>#N/A</v>
      </c>
      <c r="P102" t="e">
        <f>IFERROR(IF(OR($C102="",P$91="",P$91&gt;c_RefDate),NA(),IF(ISNUMBER(INDEX(db_Vals,MATCH(P$91,db_Dates,0),$B102)),INDEX(db_Vals,MATCH(P$91,db_Dates,0),$B102),NA())),NA())</f>
        <v>#N/A</v>
      </c>
      <c r="Q102" t="e">
        <f>IFERROR(IF(OR($C102="",Q$91="",Q$91&gt;c_RefDate),NA(),IF(ISNUMBER(INDEX(db_Vals,MATCH(Q$91,db_Dates,0),$B102)),INDEX(db_Vals,MATCH(Q$91,db_Dates,0),$B102),NA())),NA())</f>
        <v>#N/A</v>
      </c>
      <c r="R102" t="e">
        <f>IFERROR(IF(OR($C102="",R$91="",R$91&gt;c_RefDate),NA(),IF(ISNUMBER(INDEX(db_Vals,MATCH(R$91,db_Dates,0),$B102)),INDEX(db_Vals,MATCH(R$91,db_Dates,0),$B102),NA())),NA())</f>
        <v>#N/A</v>
      </c>
      <c r="S102" t="e">
        <f>IFERROR(IF(OR($C102="",S$91="",S$91&gt;c_RefDate),NA(),IF(ISNUMBER(INDEX(db_Vals,MATCH(S$91,db_Dates,0),$B102)),INDEX(db_Vals,MATCH(S$91,db_Dates,0),$B102),NA())),NA())</f>
        <v>#N/A</v>
      </c>
      <c r="T102" t="e">
        <f>IFERROR(IF(OR($C102="",T$91="",T$91&gt;c_RefDate),NA(),IF(ISNUMBER(INDEX(db_Vals,MATCH(T$91,db_Dates,0),$B102)),INDEX(db_Vals,MATCH(T$91,db_Dates,0),$B102),NA())),NA())</f>
        <v>#N/A</v>
      </c>
      <c r="U102" t="e">
        <f>IFERROR(IF(OR($C102="",U$91="",U$91&gt;c_RefDate),NA(),IF(ISNUMBER(INDEX(db_Vals,MATCH(U$91,db_Dates,0),$B102)),INDEX(db_Vals,MATCH(U$91,db_Dates,0),$B102),NA())),NA())</f>
        <v>#N/A</v>
      </c>
      <c r="V102" t="e">
        <f>IFERROR(IF(OR($C102="",V$91="",V$91&gt;c_RefDate),NA(),IF(ISNUMBER(INDEX(db_Vals,MATCH(V$91,db_Dates,0),$B102)),INDEX(db_Vals,MATCH(V$91,db_Dates,0),$B102),NA())),NA())</f>
        <v>#N/A</v>
      </c>
      <c r="W102" t="e">
        <f>IFERROR(IF(OR($C102="",W$91="",W$91&gt;c_RefDate),NA(),IF(ISNUMBER(INDEX(db_Vals,MATCH(W$91,db_Dates,0),$B102)),INDEX(db_Vals,MATCH(W$91,db_Dates,0),$B102),NA())),NA())</f>
        <v>#N/A</v>
      </c>
      <c r="X102" t="e">
        <f>IFERROR(IF(OR($C102="",X$91="",X$91&gt;c_RefDate),NA(),IF(ISNUMBER(INDEX(db_Vals,MATCH(X$91,db_Dates,0),$B102)),INDEX(db_Vals,MATCH(X$91,db_Dates,0),$B102),NA())),NA())</f>
        <v>#N/A</v>
      </c>
      <c r="Y102" t="e">
        <f>IFERROR(IF(OR($C102="",Y$91="",Y$91&gt;c_RefDate),NA(),IF(ISNUMBER(INDEX(db_Vals,MATCH(Y$91,db_Dates,0),$B102)),INDEX(db_Vals,MATCH(Y$91,db_Dates,0),$B102),NA())),NA())</f>
        <v>#N/A</v>
      </c>
      <c r="Z102" t="e">
        <f>IFERROR(IF(OR($C102="",Z$91="",Z$91&gt;c_RefDate),NA(),IF(ISNUMBER(INDEX(db_Vals,MATCH(Z$91,db_Dates,0),$B102)),INDEX(db_Vals,MATCH(Z$91,db_Dates,0),$B102),NA())),NA())</f>
        <v>#N/A</v>
      </c>
      <c r="AA102" t="e">
        <f>IFERROR(IF(OR($C102="",AA$91="",AA$91&gt;c_RefDate),NA(),IF(ISNUMBER(INDEX(db_Vals,MATCH(AA$91,db_Dates,0),$B102)),INDEX(db_Vals,MATCH(AA$91,db_Dates,0),$B102),NA())),NA())</f>
        <v>#N/A</v>
      </c>
      <c r="AB102" t="e">
        <f>IFERROR(IF(OR($C102="",AB$91="",AB$91&gt;c_RefDate),NA(),IF(ISNUMBER(INDEX(db_Vals,MATCH(AB$91,db_Dates,0),$B102)),INDEX(db_Vals,MATCH(AB$91,db_Dates,0),$B102),NA())),NA())</f>
        <v>#N/A</v>
      </c>
      <c r="AC102" t="e">
        <f>IFERROR(IF(OR($C102="",AC$91="",AC$91&gt;c_RefDate),NA(),IF(ISNUMBER(INDEX(db_Vals,MATCH(AC$91,db_Dates,0),$B102)),INDEX(db_Vals,MATCH(AC$91,db_Dates,0),$B102),NA())),NA())</f>
        <v>#N/A</v>
      </c>
      <c r="AD102" t="e">
        <f>IFERROR(IF(OR($C102="",AD$91="",AD$91&gt;c_RefDate),NA(),IF(ISNUMBER(INDEX(db_Vals,MATCH(AD$91,db_Dates,0),$B102)),INDEX(db_Vals,MATCH(AD$91,db_Dates,0),$B102),NA())),NA())</f>
        <v>#N/A</v>
      </c>
      <c r="AE102" t="e">
        <f>IFERROR(IF(OR($C102="",AE$91="",AE$91&gt;c_RefDate),NA(),IF(ISNUMBER(INDEX(db_Vals,MATCH(AE$91,db_Dates,0),$B102)),INDEX(db_Vals,MATCH(AE$91,db_Dates,0),$B102),NA())),NA())</f>
        <v>#N/A</v>
      </c>
      <c r="AF102" t="e">
        <f>IFERROR(IF(OR($C102="",AF$91="",AF$91&gt;c_RefDate),NA(),IF(ISNUMBER(INDEX(db_Vals,MATCH(AF$91,db_Dates,0),$B102)),INDEX(db_Vals,MATCH(AF$91,db_Dates,0),$B102),NA())),NA())</f>
        <v>#N/A</v>
      </c>
      <c r="AG102" t="e">
        <f>IFERROR(IF(OR($C102="",AG$91="",AG$91&gt;c_RefDate),NA(),IF(ISNUMBER(INDEX(db_Vals,MATCH(AG$91,db_Dates,0),$B102)),INDEX(db_Vals,MATCH(AG$91,db_Dates,0),$B102),NA())),NA())</f>
        <v>#N/A</v>
      </c>
      <c r="AH102" t="e">
        <f>IFERROR(IF(OR($C102="",AH$91="",AH$91&gt;c_RefDate),NA(),IF(ISNUMBER(INDEX(db_Vals,MATCH(AH$91,db_Dates,0),$B102)),INDEX(db_Vals,MATCH(AH$91,db_Dates,0),$B102),NA())),NA())</f>
        <v>#N/A</v>
      </c>
      <c r="AI102" t="e">
        <f>IFERROR(IF(OR($C102="",AI$91="",AI$91&gt;c_RefDate),NA(),IF(ISNUMBER(INDEX(db_Vals,MATCH(AI$91,db_Dates,0),$B102)),INDEX(db_Vals,MATCH(AI$91,db_Dates,0),$B102),NA())),NA())</f>
        <v>#N/A</v>
      </c>
      <c r="AJ102" t="e">
        <f>IFERROR(IF(OR($C102="",AJ$91="",AJ$91&gt;c_RefDate),NA(),IF(ISNUMBER(INDEX(db_Vals,MATCH(AJ$91,db_Dates,0),$B102)),INDEX(db_Vals,MATCH(AJ$91,db_Dates,0),$B102),NA())),NA())</f>
        <v>#N/A</v>
      </c>
      <c r="AK102" t="e">
        <f>IFERROR(IF(OR($C102="",AK$91="",AK$91&gt;c_RefDate),NA(),IF(ISNUMBER(INDEX(db_Vals,MATCH(AK$91,db_Dates,0),$B102)),INDEX(db_Vals,MATCH(AK$91,db_Dates,0),$B102),NA())),NA())</f>
        <v>#N/A</v>
      </c>
      <c r="AL102" t="e">
        <f>IFERROR(IF(OR($C102="",AL$91="",AL$91&gt;c_RefDate),NA(),IF(ISNUMBER(INDEX(db_Vals,MATCH(AL$91,db_Dates,0),$B102)),INDEX(db_Vals,MATCH(AL$91,db_Dates,0),$B102),NA())),NA())</f>
        <v>#N/A</v>
      </c>
      <c r="AM102" t="e">
        <f>IFERROR(IF(OR($C102="",AM$91="",AM$91&gt;c_RefDate),NA(),IF(ISNUMBER(INDEX(db_Vals,MATCH(AM$91,db_Dates,0),$B102)),INDEX(db_Vals,MATCH(AM$91,db_Dates,0),$B102),NA())),NA())</f>
        <v>#N/A</v>
      </c>
      <c r="AN102" t="e">
        <f>IFERROR(IF(OR($C102="",AN$91="",AN$91&gt;c_RefDate),NA(),IF(ISNUMBER(INDEX(db_Vals,MATCH(AN$91,db_Dates,0),$B102)),INDEX(db_Vals,MATCH(AN$91,db_Dates,0),$B102),NA())),NA())</f>
        <v>#N/A</v>
      </c>
      <c r="AO102" t="e">
        <f>IFERROR(IF(OR($C102="",AO$91="",AO$91&gt;c_RefDate),NA(),IF(ISNUMBER(INDEX(db_Vals,MATCH(AO$91,db_Dates,0),$B102)),INDEX(db_Vals,MATCH(AO$91,db_Dates,0),$B102),NA())),NA())</f>
        <v>#N/A</v>
      </c>
      <c r="AP102" t="e">
        <f>IFERROR(IF(OR($C102="",AP$91="",AP$91&gt;c_RefDate),NA(),IF(ISNUMBER(INDEX(db_Vals,MATCH(AP$91,db_Dates,0),$B102)),INDEX(db_Vals,MATCH(AP$91,db_Dates,0),$B102),NA())),NA())</f>
        <v>#N/A</v>
      </c>
    </row>
    <row r="103" spans="1:42">
      <c r="A103">
        <v>12</v>
      </c>
      <c r="B103">
        <f>MATCH(LARGE($J$46:$J$85,$A103),$J$46:$J$85,0)</f>
        <v>12.0</v>
      </c>
      <c r="C103" t="str">
        <f>INDEX($B$46:$B$85,$B103)</f>
        <v/>
      </c>
      <c r="D103" t="str">
        <f>INDEX($E$46:$E$85,$B103)</f>
        <v/>
      </c>
      <c r="E103">
        <f>INDEX($I$46:$I$85,$B103)</f>
        <v>-1.0</v>
      </c>
      <c r="F103" t="str">
        <f>INDEX($H$46:$H$85,$B103)</f>
        <v/>
      </c>
      <c r="G103">
        <f>INDEX($K$46:$K$85,$B103)</f>
        <v>0.0</v>
      </c>
      <c r="H103" s="130">
        <f>INDEX($D$46:$D$85,$B103)</f>
        <v>0.0</v>
      </c>
      <c r="L103" t="e">
        <f>IFERROR(IF(OR($C103="",L$91="",L$91&gt;c_RefDate),NA(),IF(ISNUMBER(INDEX(db_Vals,MATCH(L$91,db_Dates,0),$B103)),INDEX(db_Vals,MATCH(L$91,db_Dates,0),$B103),NA())),NA())</f>
        <v>#N/A</v>
      </c>
      <c r="M103" t="e">
        <f>IFERROR(IF(OR($C103="",M$91="",M$91&gt;c_RefDate),NA(),IF(ISNUMBER(INDEX(db_Vals,MATCH(M$91,db_Dates,0),$B103)),INDEX(db_Vals,MATCH(M$91,db_Dates,0),$B103),NA())),NA())</f>
        <v>#N/A</v>
      </c>
      <c r="N103" t="e">
        <f>IFERROR(IF(OR($C103="",N$91="",N$91&gt;c_RefDate),NA(),IF(ISNUMBER(INDEX(db_Vals,MATCH(N$91,db_Dates,0),$B103)),INDEX(db_Vals,MATCH(N$91,db_Dates,0),$B103),NA())),NA())</f>
        <v>#N/A</v>
      </c>
      <c r="O103" t="e">
        <f>IFERROR(IF(OR($C103="",O$91="",O$91&gt;c_RefDate),NA(),IF(ISNUMBER(INDEX(db_Vals,MATCH(O$91,db_Dates,0),$B103)),INDEX(db_Vals,MATCH(O$91,db_Dates,0),$B103),NA())),NA())</f>
        <v>#N/A</v>
      </c>
      <c r="P103" t="e">
        <f>IFERROR(IF(OR($C103="",P$91="",P$91&gt;c_RefDate),NA(),IF(ISNUMBER(INDEX(db_Vals,MATCH(P$91,db_Dates,0),$B103)),INDEX(db_Vals,MATCH(P$91,db_Dates,0),$B103),NA())),NA())</f>
        <v>#N/A</v>
      </c>
      <c r="Q103" t="e">
        <f>IFERROR(IF(OR($C103="",Q$91="",Q$91&gt;c_RefDate),NA(),IF(ISNUMBER(INDEX(db_Vals,MATCH(Q$91,db_Dates,0),$B103)),INDEX(db_Vals,MATCH(Q$91,db_Dates,0),$B103),NA())),NA())</f>
        <v>#N/A</v>
      </c>
      <c r="R103" t="e">
        <f>IFERROR(IF(OR($C103="",R$91="",R$91&gt;c_RefDate),NA(),IF(ISNUMBER(INDEX(db_Vals,MATCH(R$91,db_Dates,0),$B103)),INDEX(db_Vals,MATCH(R$91,db_Dates,0),$B103),NA())),NA())</f>
        <v>#N/A</v>
      </c>
      <c r="S103" t="e">
        <f>IFERROR(IF(OR($C103="",S$91="",S$91&gt;c_RefDate),NA(),IF(ISNUMBER(INDEX(db_Vals,MATCH(S$91,db_Dates,0),$B103)),INDEX(db_Vals,MATCH(S$91,db_Dates,0),$B103),NA())),NA())</f>
        <v>#N/A</v>
      </c>
      <c r="T103" t="e">
        <f>IFERROR(IF(OR($C103="",T$91="",T$91&gt;c_RefDate),NA(),IF(ISNUMBER(INDEX(db_Vals,MATCH(T$91,db_Dates,0),$B103)),INDEX(db_Vals,MATCH(T$91,db_Dates,0),$B103),NA())),NA())</f>
        <v>#N/A</v>
      </c>
      <c r="U103" t="e">
        <f>IFERROR(IF(OR($C103="",U$91="",U$91&gt;c_RefDate),NA(),IF(ISNUMBER(INDEX(db_Vals,MATCH(U$91,db_Dates,0),$B103)),INDEX(db_Vals,MATCH(U$91,db_Dates,0),$B103),NA())),NA())</f>
        <v>#N/A</v>
      </c>
      <c r="V103" t="e">
        <f>IFERROR(IF(OR($C103="",V$91="",V$91&gt;c_RefDate),NA(),IF(ISNUMBER(INDEX(db_Vals,MATCH(V$91,db_Dates,0),$B103)),INDEX(db_Vals,MATCH(V$91,db_Dates,0),$B103),NA())),NA())</f>
        <v>#N/A</v>
      </c>
      <c r="W103" t="e">
        <f>IFERROR(IF(OR($C103="",W$91="",W$91&gt;c_RefDate),NA(),IF(ISNUMBER(INDEX(db_Vals,MATCH(W$91,db_Dates,0),$B103)),INDEX(db_Vals,MATCH(W$91,db_Dates,0),$B103),NA())),NA())</f>
        <v>#N/A</v>
      </c>
      <c r="X103" t="e">
        <f>IFERROR(IF(OR($C103="",X$91="",X$91&gt;c_RefDate),NA(),IF(ISNUMBER(INDEX(db_Vals,MATCH(X$91,db_Dates,0),$B103)),INDEX(db_Vals,MATCH(X$91,db_Dates,0),$B103),NA())),NA())</f>
        <v>#N/A</v>
      </c>
      <c r="Y103" t="e">
        <f>IFERROR(IF(OR($C103="",Y$91="",Y$91&gt;c_RefDate),NA(),IF(ISNUMBER(INDEX(db_Vals,MATCH(Y$91,db_Dates,0),$B103)),INDEX(db_Vals,MATCH(Y$91,db_Dates,0),$B103),NA())),NA())</f>
        <v>#N/A</v>
      </c>
      <c r="Z103" t="e">
        <f>IFERROR(IF(OR($C103="",Z$91="",Z$91&gt;c_RefDate),NA(),IF(ISNUMBER(INDEX(db_Vals,MATCH(Z$91,db_Dates,0),$B103)),INDEX(db_Vals,MATCH(Z$91,db_Dates,0),$B103),NA())),NA())</f>
        <v>#N/A</v>
      </c>
      <c r="AA103" t="e">
        <f>IFERROR(IF(OR($C103="",AA$91="",AA$91&gt;c_RefDate),NA(),IF(ISNUMBER(INDEX(db_Vals,MATCH(AA$91,db_Dates,0),$B103)),INDEX(db_Vals,MATCH(AA$91,db_Dates,0),$B103),NA())),NA())</f>
        <v>#N/A</v>
      </c>
      <c r="AB103" t="e">
        <f>IFERROR(IF(OR($C103="",AB$91="",AB$91&gt;c_RefDate),NA(),IF(ISNUMBER(INDEX(db_Vals,MATCH(AB$91,db_Dates,0),$B103)),INDEX(db_Vals,MATCH(AB$91,db_Dates,0),$B103),NA())),NA())</f>
        <v>#N/A</v>
      </c>
      <c r="AC103" t="e">
        <f>IFERROR(IF(OR($C103="",AC$91="",AC$91&gt;c_RefDate),NA(),IF(ISNUMBER(INDEX(db_Vals,MATCH(AC$91,db_Dates,0),$B103)),INDEX(db_Vals,MATCH(AC$91,db_Dates,0),$B103),NA())),NA())</f>
        <v>#N/A</v>
      </c>
      <c r="AD103" t="e">
        <f>IFERROR(IF(OR($C103="",AD$91="",AD$91&gt;c_RefDate),NA(),IF(ISNUMBER(INDEX(db_Vals,MATCH(AD$91,db_Dates,0),$B103)),INDEX(db_Vals,MATCH(AD$91,db_Dates,0),$B103),NA())),NA())</f>
        <v>#N/A</v>
      </c>
      <c r="AE103" t="e">
        <f>IFERROR(IF(OR($C103="",AE$91="",AE$91&gt;c_RefDate),NA(),IF(ISNUMBER(INDEX(db_Vals,MATCH(AE$91,db_Dates,0),$B103)),INDEX(db_Vals,MATCH(AE$91,db_Dates,0),$B103),NA())),NA())</f>
        <v>#N/A</v>
      </c>
      <c r="AF103" t="e">
        <f>IFERROR(IF(OR($C103="",AF$91="",AF$91&gt;c_RefDate),NA(),IF(ISNUMBER(INDEX(db_Vals,MATCH(AF$91,db_Dates,0),$B103)),INDEX(db_Vals,MATCH(AF$91,db_Dates,0),$B103),NA())),NA())</f>
        <v>#N/A</v>
      </c>
      <c r="AG103" t="e">
        <f>IFERROR(IF(OR($C103="",AG$91="",AG$91&gt;c_RefDate),NA(),IF(ISNUMBER(INDEX(db_Vals,MATCH(AG$91,db_Dates,0),$B103)),INDEX(db_Vals,MATCH(AG$91,db_Dates,0),$B103),NA())),NA())</f>
        <v>#N/A</v>
      </c>
      <c r="AH103" t="e">
        <f>IFERROR(IF(OR($C103="",AH$91="",AH$91&gt;c_RefDate),NA(),IF(ISNUMBER(INDEX(db_Vals,MATCH(AH$91,db_Dates,0),$B103)),INDEX(db_Vals,MATCH(AH$91,db_Dates,0),$B103),NA())),NA())</f>
        <v>#N/A</v>
      </c>
      <c r="AI103" t="e">
        <f>IFERROR(IF(OR($C103="",AI$91="",AI$91&gt;c_RefDate),NA(),IF(ISNUMBER(INDEX(db_Vals,MATCH(AI$91,db_Dates,0),$B103)),INDEX(db_Vals,MATCH(AI$91,db_Dates,0),$B103),NA())),NA())</f>
        <v>#N/A</v>
      </c>
      <c r="AJ103" t="e">
        <f>IFERROR(IF(OR($C103="",AJ$91="",AJ$91&gt;c_RefDate),NA(),IF(ISNUMBER(INDEX(db_Vals,MATCH(AJ$91,db_Dates,0),$B103)),INDEX(db_Vals,MATCH(AJ$91,db_Dates,0),$B103),NA())),NA())</f>
        <v>#N/A</v>
      </c>
      <c r="AK103" t="e">
        <f>IFERROR(IF(OR($C103="",AK$91="",AK$91&gt;c_RefDate),NA(),IF(ISNUMBER(INDEX(db_Vals,MATCH(AK$91,db_Dates,0),$B103)),INDEX(db_Vals,MATCH(AK$91,db_Dates,0),$B103),NA())),NA())</f>
        <v>#N/A</v>
      </c>
      <c r="AL103" t="e">
        <f>IFERROR(IF(OR($C103="",AL$91="",AL$91&gt;c_RefDate),NA(),IF(ISNUMBER(INDEX(db_Vals,MATCH(AL$91,db_Dates,0),$B103)),INDEX(db_Vals,MATCH(AL$91,db_Dates,0),$B103),NA())),NA())</f>
        <v>#N/A</v>
      </c>
      <c r="AM103" t="e">
        <f>IFERROR(IF(OR($C103="",AM$91="",AM$91&gt;c_RefDate),NA(),IF(ISNUMBER(INDEX(db_Vals,MATCH(AM$91,db_Dates,0),$B103)),INDEX(db_Vals,MATCH(AM$91,db_Dates,0),$B103),NA())),NA())</f>
        <v>#N/A</v>
      </c>
      <c r="AN103" t="e">
        <f>IFERROR(IF(OR($C103="",AN$91="",AN$91&gt;c_RefDate),NA(),IF(ISNUMBER(INDEX(db_Vals,MATCH(AN$91,db_Dates,0),$B103)),INDEX(db_Vals,MATCH(AN$91,db_Dates,0),$B103),NA())),NA())</f>
        <v>#N/A</v>
      </c>
      <c r="AO103" t="e">
        <f>IFERROR(IF(OR($C103="",AO$91="",AO$91&gt;c_RefDate),NA(),IF(ISNUMBER(INDEX(db_Vals,MATCH(AO$91,db_Dates,0),$B103)),INDEX(db_Vals,MATCH(AO$91,db_Dates,0),$B103),NA())),NA())</f>
        <v>#N/A</v>
      </c>
      <c r="AP103" t="e">
        <f>IFERROR(IF(OR($C103="",AP$91="",AP$91&gt;c_RefDate),NA(),IF(ISNUMBER(INDEX(db_Vals,MATCH(AP$91,db_Dates,0),$B103)),INDEX(db_Vals,MATCH(AP$91,db_Dates,0),$B103),NA())),NA())</f>
        <v>#N/A</v>
      </c>
    </row>
    <row r="104" spans="1:42">
      <c r="A104">
        <v>13</v>
      </c>
      <c r="B104">
        <f>MATCH(LARGE($J$46:$J$85,$A104),$J$46:$J$85,0)</f>
        <v>13.0</v>
      </c>
      <c r="C104" t="str">
        <f>INDEX($B$46:$B$85,$B104)</f>
        <v/>
      </c>
      <c r="D104" t="str">
        <f>INDEX($E$46:$E$85,$B104)</f>
        <v/>
      </c>
      <c r="E104">
        <f>INDEX($I$46:$I$85,$B104)</f>
        <v>-1.0</v>
      </c>
      <c r="F104" t="str">
        <f>INDEX($H$46:$H$85,$B104)</f>
        <v/>
      </c>
      <c r="G104">
        <f>INDEX($K$46:$K$85,$B104)</f>
        <v>0.0</v>
      </c>
      <c r="H104" s="130">
        <f>INDEX($D$46:$D$85,$B104)</f>
        <v>0.0</v>
      </c>
      <c r="L104" t="e">
        <f>IFERROR(IF(OR($C104="",L$91="",L$91&gt;c_RefDate),NA(),IF(ISNUMBER(INDEX(db_Vals,MATCH(L$91,db_Dates,0),$B104)),INDEX(db_Vals,MATCH(L$91,db_Dates,0),$B104),NA())),NA())</f>
        <v>#N/A</v>
      </c>
      <c r="M104" t="e">
        <f>IFERROR(IF(OR($C104="",M$91="",M$91&gt;c_RefDate),NA(),IF(ISNUMBER(INDEX(db_Vals,MATCH(M$91,db_Dates,0),$B104)),INDEX(db_Vals,MATCH(M$91,db_Dates,0),$B104),NA())),NA())</f>
        <v>#N/A</v>
      </c>
      <c r="N104" t="e">
        <f>IFERROR(IF(OR($C104="",N$91="",N$91&gt;c_RefDate),NA(),IF(ISNUMBER(INDEX(db_Vals,MATCH(N$91,db_Dates,0),$B104)),INDEX(db_Vals,MATCH(N$91,db_Dates,0),$B104),NA())),NA())</f>
        <v>#N/A</v>
      </c>
      <c r="O104" t="e">
        <f>IFERROR(IF(OR($C104="",O$91="",O$91&gt;c_RefDate),NA(),IF(ISNUMBER(INDEX(db_Vals,MATCH(O$91,db_Dates,0),$B104)),INDEX(db_Vals,MATCH(O$91,db_Dates,0),$B104),NA())),NA())</f>
        <v>#N/A</v>
      </c>
      <c r="P104" t="e">
        <f>IFERROR(IF(OR($C104="",P$91="",P$91&gt;c_RefDate),NA(),IF(ISNUMBER(INDEX(db_Vals,MATCH(P$91,db_Dates,0),$B104)),INDEX(db_Vals,MATCH(P$91,db_Dates,0),$B104),NA())),NA())</f>
        <v>#N/A</v>
      </c>
      <c r="Q104" t="e">
        <f>IFERROR(IF(OR($C104="",Q$91="",Q$91&gt;c_RefDate),NA(),IF(ISNUMBER(INDEX(db_Vals,MATCH(Q$91,db_Dates,0),$B104)),INDEX(db_Vals,MATCH(Q$91,db_Dates,0),$B104),NA())),NA())</f>
        <v>#N/A</v>
      </c>
      <c r="R104" t="e">
        <f>IFERROR(IF(OR($C104="",R$91="",R$91&gt;c_RefDate),NA(),IF(ISNUMBER(INDEX(db_Vals,MATCH(R$91,db_Dates,0),$B104)),INDEX(db_Vals,MATCH(R$91,db_Dates,0),$B104),NA())),NA())</f>
        <v>#N/A</v>
      </c>
      <c r="S104" t="e">
        <f>IFERROR(IF(OR($C104="",S$91="",S$91&gt;c_RefDate),NA(),IF(ISNUMBER(INDEX(db_Vals,MATCH(S$91,db_Dates,0),$B104)),INDEX(db_Vals,MATCH(S$91,db_Dates,0),$B104),NA())),NA())</f>
        <v>#N/A</v>
      </c>
      <c r="T104" t="e">
        <f>IFERROR(IF(OR($C104="",T$91="",T$91&gt;c_RefDate),NA(),IF(ISNUMBER(INDEX(db_Vals,MATCH(T$91,db_Dates,0),$B104)),INDEX(db_Vals,MATCH(T$91,db_Dates,0),$B104),NA())),NA())</f>
        <v>#N/A</v>
      </c>
      <c r="U104" t="e">
        <f>IFERROR(IF(OR($C104="",U$91="",U$91&gt;c_RefDate),NA(),IF(ISNUMBER(INDEX(db_Vals,MATCH(U$91,db_Dates,0),$B104)),INDEX(db_Vals,MATCH(U$91,db_Dates,0),$B104),NA())),NA())</f>
        <v>#N/A</v>
      </c>
      <c r="V104" t="e">
        <f>IFERROR(IF(OR($C104="",V$91="",V$91&gt;c_RefDate),NA(),IF(ISNUMBER(INDEX(db_Vals,MATCH(V$91,db_Dates,0),$B104)),INDEX(db_Vals,MATCH(V$91,db_Dates,0),$B104),NA())),NA())</f>
        <v>#N/A</v>
      </c>
      <c r="W104" t="e">
        <f>IFERROR(IF(OR($C104="",W$91="",W$91&gt;c_RefDate),NA(),IF(ISNUMBER(INDEX(db_Vals,MATCH(W$91,db_Dates,0),$B104)),INDEX(db_Vals,MATCH(W$91,db_Dates,0),$B104),NA())),NA())</f>
        <v>#N/A</v>
      </c>
      <c r="X104" t="e">
        <f>IFERROR(IF(OR($C104="",X$91="",X$91&gt;c_RefDate),NA(),IF(ISNUMBER(INDEX(db_Vals,MATCH(X$91,db_Dates,0),$B104)),INDEX(db_Vals,MATCH(X$91,db_Dates,0),$B104),NA())),NA())</f>
        <v>#N/A</v>
      </c>
      <c r="Y104" t="e">
        <f>IFERROR(IF(OR($C104="",Y$91="",Y$91&gt;c_RefDate),NA(),IF(ISNUMBER(INDEX(db_Vals,MATCH(Y$91,db_Dates,0),$B104)),INDEX(db_Vals,MATCH(Y$91,db_Dates,0),$B104),NA())),NA())</f>
        <v>#N/A</v>
      </c>
      <c r="Z104" t="e">
        <f>IFERROR(IF(OR($C104="",Z$91="",Z$91&gt;c_RefDate),NA(),IF(ISNUMBER(INDEX(db_Vals,MATCH(Z$91,db_Dates,0),$B104)),INDEX(db_Vals,MATCH(Z$91,db_Dates,0),$B104),NA())),NA())</f>
        <v>#N/A</v>
      </c>
      <c r="AA104" t="e">
        <f>IFERROR(IF(OR($C104="",AA$91="",AA$91&gt;c_RefDate),NA(),IF(ISNUMBER(INDEX(db_Vals,MATCH(AA$91,db_Dates,0),$B104)),INDEX(db_Vals,MATCH(AA$91,db_Dates,0),$B104),NA())),NA())</f>
        <v>#N/A</v>
      </c>
      <c r="AB104" t="e">
        <f>IFERROR(IF(OR($C104="",AB$91="",AB$91&gt;c_RefDate),NA(),IF(ISNUMBER(INDEX(db_Vals,MATCH(AB$91,db_Dates,0),$B104)),INDEX(db_Vals,MATCH(AB$91,db_Dates,0),$B104),NA())),NA())</f>
        <v>#N/A</v>
      </c>
      <c r="AC104" t="e">
        <f>IFERROR(IF(OR($C104="",AC$91="",AC$91&gt;c_RefDate),NA(),IF(ISNUMBER(INDEX(db_Vals,MATCH(AC$91,db_Dates,0),$B104)),INDEX(db_Vals,MATCH(AC$91,db_Dates,0),$B104),NA())),NA())</f>
        <v>#N/A</v>
      </c>
      <c r="AD104" t="e">
        <f>IFERROR(IF(OR($C104="",AD$91="",AD$91&gt;c_RefDate),NA(),IF(ISNUMBER(INDEX(db_Vals,MATCH(AD$91,db_Dates,0),$B104)),INDEX(db_Vals,MATCH(AD$91,db_Dates,0),$B104),NA())),NA())</f>
        <v>#N/A</v>
      </c>
      <c r="AE104" t="e">
        <f>IFERROR(IF(OR($C104="",AE$91="",AE$91&gt;c_RefDate),NA(),IF(ISNUMBER(INDEX(db_Vals,MATCH(AE$91,db_Dates,0),$B104)),INDEX(db_Vals,MATCH(AE$91,db_Dates,0),$B104),NA())),NA())</f>
        <v>#N/A</v>
      </c>
      <c r="AF104" t="e">
        <f>IFERROR(IF(OR($C104="",AF$91="",AF$91&gt;c_RefDate),NA(),IF(ISNUMBER(INDEX(db_Vals,MATCH(AF$91,db_Dates,0),$B104)),INDEX(db_Vals,MATCH(AF$91,db_Dates,0),$B104),NA())),NA())</f>
        <v>#N/A</v>
      </c>
      <c r="AG104" t="e">
        <f>IFERROR(IF(OR($C104="",AG$91="",AG$91&gt;c_RefDate),NA(),IF(ISNUMBER(INDEX(db_Vals,MATCH(AG$91,db_Dates,0),$B104)),INDEX(db_Vals,MATCH(AG$91,db_Dates,0),$B104),NA())),NA())</f>
        <v>#N/A</v>
      </c>
      <c r="AH104" t="e">
        <f>IFERROR(IF(OR($C104="",AH$91="",AH$91&gt;c_RefDate),NA(),IF(ISNUMBER(INDEX(db_Vals,MATCH(AH$91,db_Dates,0),$B104)),INDEX(db_Vals,MATCH(AH$91,db_Dates,0),$B104),NA())),NA())</f>
        <v>#N/A</v>
      </c>
      <c r="AI104" t="e">
        <f>IFERROR(IF(OR($C104="",AI$91="",AI$91&gt;c_RefDate),NA(),IF(ISNUMBER(INDEX(db_Vals,MATCH(AI$91,db_Dates,0),$B104)),INDEX(db_Vals,MATCH(AI$91,db_Dates,0),$B104),NA())),NA())</f>
        <v>#N/A</v>
      </c>
      <c r="AJ104" t="e">
        <f>IFERROR(IF(OR($C104="",AJ$91="",AJ$91&gt;c_RefDate),NA(),IF(ISNUMBER(INDEX(db_Vals,MATCH(AJ$91,db_Dates,0),$B104)),INDEX(db_Vals,MATCH(AJ$91,db_Dates,0),$B104),NA())),NA())</f>
        <v>#N/A</v>
      </c>
      <c r="AK104" t="e">
        <f>IFERROR(IF(OR($C104="",AK$91="",AK$91&gt;c_RefDate),NA(),IF(ISNUMBER(INDEX(db_Vals,MATCH(AK$91,db_Dates,0),$B104)),INDEX(db_Vals,MATCH(AK$91,db_Dates,0),$B104),NA())),NA())</f>
        <v>#N/A</v>
      </c>
      <c r="AL104" t="e">
        <f>IFERROR(IF(OR($C104="",AL$91="",AL$91&gt;c_RefDate),NA(),IF(ISNUMBER(INDEX(db_Vals,MATCH(AL$91,db_Dates,0),$B104)),INDEX(db_Vals,MATCH(AL$91,db_Dates,0),$B104),NA())),NA())</f>
        <v>#N/A</v>
      </c>
      <c r="AM104" t="e">
        <f>IFERROR(IF(OR($C104="",AM$91="",AM$91&gt;c_RefDate),NA(),IF(ISNUMBER(INDEX(db_Vals,MATCH(AM$91,db_Dates,0),$B104)),INDEX(db_Vals,MATCH(AM$91,db_Dates,0),$B104),NA())),NA())</f>
        <v>#N/A</v>
      </c>
      <c r="AN104" t="e">
        <f>IFERROR(IF(OR($C104="",AN$91="",AN$91&gt;c_RefDate),NA(),IF(ISNUMBER(INDEX(db_Vals,MATCH(AN$91,db_Dates,0),$B104)),INDEX(db_Vals,MATCH(AN$91,db_Dates,0),$B104),NA())),NA())</f>
        <v>#N/A</v>
      </c>
      <c r="AO104" t="e">
        <f>IFERROR(IF(OR($C104="",AO$91="",AO$91&gt;c_RefDate),NA(),IF(ISNUMBER(INDEX(db_Vals,MATCH(AO$91,db_Dates,0),$B104)),INDEX(db_Vals,MATCH(AO$91,db_Dates,0),$B104),NA())),NA())</f>
        <v>#N/A</v>
      </c>
      <c r="AP104" t="e">
        <f>IFERROR(IF(OR($C104="",AP$91="",AP$91&gt;c_RefDate),NA(),IF(ISNUMBER(INDEX(db_Vals,MATCH(AP$91,db_Dates,0),$B104)),INDEX(db_Vals,MATCH(AP$91,db_Dates,0),$B104),NA())),NA())</f>
        <v>#N/A</v>
      </c>
    </row>
    <row r="105" spans="1:42">
      <c r="A105">
        <v>14</v>
      </c>
      <c r="B105">
        <f>MATCH(LARGE($J$46:$J$85,$A105),$J$46:$J$85,0)</f>
        <v>14.0</v>
      </c>
      <c r="C105" t="str">
        <f>INDEX($B$46:$B$85,$B105)</f>
        <v/>
      </c>
      <c r="D105" t="str">
        <f>INDEX($E$46:$E$85,$B105)</f>
        <v/>
      </c>
      <c r="E105">
        <f>INDEX($I$46:$I$85,$B105)</f>
        <v>-1.0</v>
      </c>
      <c r="F105" t="str">
        <f>INDEX($H$46:$H$85,$B105)</f>
        <v/>
      </c>
      <c r="G105">
        <f>INDEX($K$46:$K$85,$B105)</f>
        <v>0.0</v>
      </c>
      <c r="H105" s="130">
        <f>INDEX($D$46:$D$85,$B105)</f>
        <v>0.0</v>
      </c>
      <c r="L105" t="e">
        <f>IFERROR(IF(OR($C105="",L$91="",L$91&gt;c_RefDate),NA(),IF(ISNUMBER(INDEX(db_Vals,MATCH(L$91,db_Dates,0),$B105)),INDEX(db_Vals,MATCH(L$91,db_Dates,0),$B105),NA())),NA())</f>
        <v>#N/A</v>
      </c>
      <c r="M105" t="e">
        <f>IFERROR(IF(OR($C105="",M$91="",M$91&gt;c_RefDate),NA(),IF(ISNUMBER(INDEX(db_Vals,MATCH(M$91,db_Dates,0),$B105)),INDEX(db_Vals,MATCH(M$91,db_Dates,0),$B105),NA())),NA())</f>
        <v>#N/A</v>
      </c>
      <c r="N105" t="e">
        <f>IFERROR(IF(OR($C105="",N$91="",N$91&gt;c_RefDate),NA(),IF(ISNUMBER(INDEX(db_Vals,MATCH(N$91,db_Dates,0),$B105)),INDEX(db_Vals,MATCH(N$91,db_Dates,0),$B105),NA())),NA())</f>
        <v>#N/A</v>
      </c>
      <c r="O105" t="e">
        <f>IFERROR(IF(OR($C105="",O$91="",O$91&gt;c_RefDate),NA(),IF(ISNUMBER(INDEX(db_Vals,MATCH(O$91,db_Dates,0),$B105)),INDEX(db_Vals,MATCH(O$91,db_Dates,0),$B105),NA())),NA())</f>
        <v>#N/A</v>
      </c>
      <c r="P105" t="e">
        <f>IFERROR(IF(OR($C105="",P$91="",P$91&gt;c_RefDate),NA(),IF(ISNUMBER(INDEX(db_Vals,MATCH(P$91,db_Dates,0),$B105)),INDEX(db_Vals,MATCH(P$91,db_Dates,0),$B105),NA())),NA())</f>
        <v>#N/A</v>
      </c>
      <c r="Q105" t="e">
        <f>IFERROR(IF(OR($C105="",Q$91="",Q$91&gt;c_RefDate),NA(),IF(ISNUMBER(INDEX(db_Vals,MATCH(Q$91,db_Dates,0),$B105)),INDEX(db_Vals,MATCH(Q$91,db_Dates,0),$B105),NA())),NA())</f>
        <v>#N/A</v>
      </c>
      <c r="R105" t="e">
        <f>IFERROR(IF(OR($C105="",R$91="",R$91&gt;c_RefDate),NA(),IF(ISNUMBER(INDEX(db_Vals,MATCH(R$91,db_Dates,0),$B105)),INDEX(db_Vals,MATCH(R$91,db_Dates,0),$B105),NA())),NA())</f>
        <v>#N/A</v>
      </c>
      <c r="S105" t="e">
        <f>IFERROR(IF(OR($C105="",S$91="",S$91&gt;c_RefDate),NA(),IF(ISNUMBER(INDEX(db_Vals,MATCH(S$91,db_Dates,0),$B105)),INDEX(db_Vals,MATCH(S$91,db_Dates,0),$B105),NA())),NA())</f>
        <v>#N/A</v>
      </c>
      <c r="T105" t="e">
        <f>IFERROR(IF(OR($C105="",T$91="",T$91&gt;c_RefDate),NA(),IF(ISNUMBER(INDEX(db_Vals,MATCH(T$91,db_Dates,0),$B105)),INDEX(db_Vals,MATCH(T$91,db_Dates,0),$B105),NA())),NA())</f>
        <v>#N/A</v>
      </c>
      <c r="U105" t="e">
        <f>IFERROR(IF(OR($C105="",U$91="",U$91&gt;c_RefDate),NA(),IF(ISNUMBER(INDEX(db_Vals,MATCH(U$91,db_Dates,0),$B105)),INDEX(db_Vals,MATCH(U$91,db_Dates,0),$B105),NA())),NA())</f>
        <v>#N/A</v>
      </c>
      <c r="V105" t="e">
        <f>IFERROR(IF(OR($C105="",V$91="",V$91&gt;c_RefDate),NA(),IF(ISNUMBER(INDEX(db_Vals,MATCH(V$91,db_Dates,0),$B105)),INDEX(db_Vals,MATCH(V$91,db_Dates,0),$B105),NA())),NA())</f>
        <v>#N/A</v>
      </c>
      <c r="W105" t="e">
        <f>IFERROR(IF(OR($C105="",W$91="",W$91&gt;c_RefDate),NA(),IF(ISNUMBER(INDEX(db_Vals,MATCH(W$91,db_Dates,0),$B105)),INDEX(db_Vals,MATCH(W$91,db_Dates,0),$B105),NA())),NA())</f>
        <v>#N/A</v>
      </c>
      <c r="X105" t="e">
        <f>IFERROR(IF(OR($C105="",X$91="",X$91&gt;c_RefDate),NA(),IF(ISNUMBER(INDEX(db_Vals,MATCH(X$91,db_Dates,0),$B105)),INDEX(db_Vals,MATCH(X$91,db_Dates,0),$B105),NA())),NA())</f>
        <v>#N/A</v>
      </c>
      <c r="Y105" t="e">
        <f>IFERROR(IF(OR($C105="",Y$91="",Y$91&gt;c_RefDate),NA(),IF(ISNUMBER(INDEX(db_Vals,MATCH(Y$91,db_Dates,0),$B105)),INDEX(db_Vals,MATCH(Y$91,db_Dates,0),$B105),NA())),NA())</f>
        <v>#N/A</v>
      </c>
      <c r="Z105" t="e">
        <f>IFERROR(IF(OR($C105="",Z$91="",Z$91&gt;c_RefDate),NA(),IF(ISNUMBER(INDEX(db_Vals,MATCH(Z$91,db_Dates,0),$B105)),INDEX(db_Vals,MATCH(Z$91,db_Dates,0),$B105),NA())),NA())</f>
        <v>#N/A</v>
      </c>
      <c r="AA105" t="e">
        <f>IFERROR(IF(OR($C105="",AA$91="",AA$91&gt;c_RefDate),NA(),IF(ISNUMBER(INDEX(db_Vals,MATCH(AA$91,db_Dates,0),$B105)),INDEX(db_Vals,MATCH(AA$91,db_Dates,0),$B105),NA())),NA())</f>
        <v>#N/A</v>
      </c>
      <c r="AB105" t="e">
        <f>IFERROR(IF(OR($C105="",AB$91="",AB$91&gt;c_RefDate),NA(),IF(ISNUMBER(INDEX(db_Vals,MATCH(AB$91,db_Dates,0),$B105)),INDEX(db_Vals,MATCH(AB$91,db_Dates,0),$B105),NA())),NA())</f>
        <v>#N/A</v>
      </c>
      <c r="AC105" t="e">
        <f>IFERROR(IF(OR($C105="",AC$91="",AC$91&gt;c_RefDate),NA(),IF(ISNUMBER(INDEX(db_Vals,MATCH(AC$91,db_Dates,0),$B105)),INDEX(db_Vals,MATCH(AC$91,db_Dates,0),$B105),NA())),NA())</f>
        <v>#N/A</v>
      </c>
      <c r="AD105" t="e">
        <f>IFERROR(IF(OR($C105="",AD$91="",AD$91&gt;c_RefDate),NA(),IF(ISNUMBER(INDEX(db_Vals,MATCH(AD$91,db_Dates,0),$B105)),INDEX(db_Vals,MATCH(AD$91,db_Dates,0),$B105),NA())),NA())</f>
        <v>#N/A</v>
      </c>
      <c r="AE105" t="e">
        <f>IFERROR(IF(OR($C105="",AE$91="",AE$91&gt;c_RefDate),NA(),IF(ISNUMBER(INDEX(db_Vals,MATCH(AE$91,db_Dates,0),$B105)),INDEX(db_Vals,MATCH(AE$91,db_Dates,0),$B105),NA())),NA())</f>
        <v>#N/A</v>
      </c>
      <c r="AF105" t="e">
        <f>IFERROR(IF(OR($C105="",AF$91="",AF$91&gt;c_RefDate),NA(),IF(ISNUMBER(INDEX(db_Vals,MATCH(AF$91,db_Dates,0),$B105)),INDEX(db_Vals,MATCH(AF$91,db_Dates,0),$B105),NA())),NA())</f>
        <v>#N/A</v>
      </c>
      <c r="AG105" t="e">
        <f>IFERROR(IF(OR($C105="",AG$91="",AG$91&gt;c_RefDate),NA(),IF(ISNUMBER(INDEX(db_Vals,MATCH(AG$91,db_Dates,0),$B105)),INDEX(db_Vals,MATCH(AG$91,db_Dates,0),$B105),NA())),NA())</f>
        <v>#N/A</v>
      </c>
      <c r="AH105" t="e">
        <f>IFERROR(IF(OR($C105="",AH$91="",AH$91&gt;c_RefDate),NA(),IF(ISNUMBER(INDEX(db_Vals,MATCH(AH$91,db_Dates,0),$B105)),INDEX(db_Vals,MATCH(AH$91,db_Dates,0),$B105),NA())),NA())</f>
        <v>#N/A</v>
      </c>
      <c r="AI105" t="e">
        <f>IFERROR(IF(OR($C105="",AI$91="",AI$91&gt;c_RefDate),NA(),IF(ISNUMBER(INDEX(db_Vals,MATCH(AI$91,db_Dates,0),$B105)),INDEX(db_Vals,MATCH(AI$91,db_Dates,0),$B105),NA())),NA())</f>
        <v>#N/A</v>
      </c>
      <c r="AJ105" t="e">
        <f>IFERROR(IF(OR($C105="",AJ$91="",AJ$91&gt;c_RefDate),NA(),IF(ISNUMBER(INDEX(db_Vals,MATCH(AJ$91,db_Dates,0),$B105)),INDEX(db_Vals,MATCH(AJ$91,db_Dates,0),$B105),NA())),NA())</f>
        <v>#N/A</v>
      </c>
      <c r="AK105" t="e">
        <f>IFERROR(IF(OR($C105="",AK$91="",AK$91&gt;c_RefDate),NA(),IF(ISNUMBER(INDEX(db_Vals,MATCH(AK$91,db_Dates,0),$B105)),INDEX(db_Vals,MATCH(AK$91,db_Dates,0),$B105),NA())),NA())</f>
        <v>#N/A</v>
      </c>
      <c r="AL105" t="e">
        <f>IFERROR(IF(OR($C105="",AL$91="",AL$91&gt;c_RefDate),NA(),IF(ISNUMBER(INDEX(db_Vals,MATCH(AL$91,db_Dates,0),$B105)),INDEX(db_Vals,MATCH(AL$91,db_Dates,0),$B105),NA())),NA())</f>
        <v>#N/A</v>
      </c>
      <c r="AM105" t="e">
        <f>IFERROR(IF(OR($C105="",AM$91="",AM$91&gt;c_RefDate),NA(),IF(ISNUMBER(INDEX(db_Vals,MATCH(AM$91,db_Dates,0),$B105)),INDEX(db_Vals,MATCH(AM$91,db_Dates,0),$B105),NA())),NA())</f>
        <v>#N/A</v>
      </c>
      <c r="AN105" t="e">
        <f>IFERROR(IF(OR($C105="",AN$91="",AN$91&gt;c_RefDate),NA(),IF(ISNUMBER(INDEX(db_Vals,MATCH(AN$91,db_Dates,0),$B105)),INDEX(db_Vals,MATCH(AN$91,db_Dates,0),$B105),NA())),NA())</f>
        <v>#N/A</v>
      </c>
      <c r="AO105" t="e">
        <f>IFERROR(IF(OR($C105="",AO$91="",AO$91&gt;c_RefDate),NA(),IF(ISNUMBER(INDEX(db_Vals,MATCH(AO$91,db_Dates,0),$B105)),INDEX(db_Vals,MATCH(AO$91,db_Dates,0),$B105),NA())),NA())</f>
        <v>#N/A</v>
      </c>
      <c r="AP105" t="e">
        <f>IFERROR(IF(OR($C105="",AP$91="",AP$91&gt;c_RefDate),NA(),IF(ISNUMBER(INDEX(db_Vals,MATCH(AP$91,db_Dates,0),$B105)),INDEX(db_Vals,MATCH(AP$91,db_Dates,0),$B105),NA())),NA())</f>
        <v>#N/A</v>
      </c>
    </row>
    <row r="106" spans="1:42">
      <c r="A106">
        <v>15</v>
      </c>
      <c r="B106">
        <f>MATCH(LARGE($J$46:$J$85,$A106),$J$46:$J$85,0)</f>
        <v>15.0</v>
      </c>
      <c r="C106" t="str">
        <f>INDEX($B$46:$B$85,$B106)</f>
        <v/>
      </c>
      <c r="D106" t="str">
        <f>INDEX($E$46:$E$85,$B106)</f>
        <v/>
      </c>
      <c r="E106">
        <f>INDEX($I$46:$I$85,$B106)</f>
        <v>-1.0</v>
      </c>
      <c r="F106" t="str">
        <f>INDEX($H$46:$H$85,$B106)</f>
        <v/>
      </c>
      <c r="G106">
        <f>INDEX($K$46:$K$85,$B106)</f>
        <v>0.0</v>
      </c>
      <c r="H106" s="130">
        <f>INDEX($D$46:$D$85,$B106)</f>
        <v>0.0</v>
      </c>
      <c r="L106" t="e">
        <f>IFERROR(IF(OR($C106="",L$91="",L$91&gt;c_RefDate),NA(),IF(ISNUMBER(INDEX(db_Vals,MATCH(L$91,db_Dates,0),$B106)),INDEX(db_Vals,MATCH(L$91,db_Dates,0),$B106),NA())),NA())</f>
        <v>#N/A</v>
      </c>
      <c r="M106" t="e">
        <f>IFERROR(IF(OR($C106="",M$91="",M$91&gt;c_RefDate),NA(),IF(ISNUMBER(INDEX(db_Vals,MATCH(M$91,db_Dates,0),$B106)),INDEX(db_Vals,MATCH(M$91,db_Dates,0),$B106),NA())),NA())</f>
        <v>#N/A</v>
      </c>
      <c r="N106" t="e">
        <f>IFERROR(IF(OR($C106="",N$91="",N$91&gt;c_RefDate),NA(),IF(ISNUMBER(INDEX(db_Vals,MATCH(N$91,db_Dates,0),$B106)),INDEX(db_Vals,MATCH(N$91,db_Dates,0),$B106),NA())),NA())</f>
        <v>#N/A</v>
      </c>
      <c r="O106" t="e">
        <f>IFERROR(IF(OR($C106="",O$91="",O$91&gt;c_RefDate),NA(),IF(ISNUMBER(INDEX(db_Vals,MATCH(O$91,db_Dates,0),$B106)),INDEX(db_Vals,MATCH(O$91,db_Dates,0),$B106),NA())),NA())</f>
        <v>#N/A</v>
      </c>
      <c r="P106" t="e">
        <f>IFERROR(IF(OR($C106="",P$91="",P$91&gt;c_RefDate),NA(),IF(ISNUMBER(INDEX(db_Vals,MATCH(P$91,db_Dates,0),$B106)),INDEX(db_Vals,MATCH(P$91,db_Dates,0),$B106),NA())),NA())</f>
        <v>#N/A</v>
      </c>
      <c r="Q106" t="e">
        <f>IFERROR(IF(OR($C106="",Q$91="",Q$91&gt;c_RefDate),NA(),IF(ISNUMBER(INDEX(db_Vals,MATCH(Q$91,db_Dates,0),$B106)),INDEX(db_Vals,MATCH(Q$91,db_Dates,0),$B106),NA())),NA())</f>
        <v>#N/A</v>
      </c>
      <c r="R106" t="e">
        <f>IFERROR(IF(OR($C106="",R$91="",R$91&gt;c_RefDate),NA(),IF(ISNUMBER(INDEX(db_Vals,MATCH(R$91,db_Dates,0),$B106)),INDEX(db_Vals,MATCH(R$91,db_Dates,0),$B106),NA())),NA())</f>
        <v>#N/A</v>
      </c>
      <c r="S106" t="e">
        <f>IFERROR(IF(OR($C106="",S$91="",S$91&gt;c_RefDate),NA(),IF(ISNUMBER(INDEX(db_Vals,MATCH(S$91,db_Dates,0),$B106)),INDEX(db_Vals,MATCH(S$91,db_Dates,0),$B106),NA())),NA())</f>
        <v>#N/A</v>
      </c>
      <c r="T106" t="e">
        <f>IFERROR(IF(OR($C106="",T$91="",T$91&gt;c_RefDate),NA(),IF(ISNUMBER(INDEX(db_Vals,MATCH(T$91,db_Dates,0),$B106)),INDEX(db_Vals,MATCH(T$91,db_Dates,0),$B106),NA())),NA())</f>
        <v>#N/A</v>
      </c>
      <c r="U106" t="e">
        <f>IFERROR(IF(OR($C106="",U$91="",U$91&gt;c_RefDate),NA(),IF(ISNUMBER(INDEX(db_Vals,MATCH(U$91,db_Dates,0),$B106)),INDEX(db_Vals,MATCH(U$91,db_Dates,0),$B106),NA())),NA())</f>
        <v>#N/A</v>
      </c>
      <c r="V106" t="e">
        <f>IFERROR(IF(OR($C106="",V$91="",V$91&gt;c_RefDate),NA(),IF(ISNUMBER(INDEX(db_Vals,MATCH(V$91,db_Dates,0),$B106)),INDEX(db_Vals,MATCH(V$91,db_Dates,0),$B106),NA())),NA())</f>
        <v>#N/A</v>
      </c>
      <c r="W106" t="e">
        <f>IFERROR(IF(OR($C106="",W$91="",W$91&gt;c_RefDate),NA(),IF(ISNUMBER(INDEX(db_Vals,MATCH(W$91,db_Dates,0),$B106)),INDEX(db_Vals,MATCH(W$91,db_Dates,0),$B106),NA())),NA())</f>
        <v>#N/A</v>
      </c>
      <c r="X106" t="e">
        <f>IFERROR(IF(OR($C106="",X$91="",X$91&gt;c_RefDate),NA(),IF(ISNUMBER(INDEX(db_Vals,MATCH(X$91,db_Dates,0),$B106)),INDEX(db_Vals,MATCH(X$91,db_Dates,0),$B106),NA())),NA())</f>
        <v>#N/A</v>
      </c>
      <c r="Y106" t="e">
        <f>IFERROR(IF(OR($C106="",Y$91="",Y$91&gt;c_RefDate),NA(),IF(ISNUMBER(INDEX(db_Vals,MATCH(Y$91,db_Dates,0),$B106)),INDEX(db_Vals,MATCH(Y$91,db_Dates,0),$B106),NA())),NA())</f>
        <v>#N/A</v>
      </c>
      <c r="Z106" t="e">
        <f>IFERROR(IF(OR($C106="",Z$91="",Z$91&gt;c_RefDate),NA(),IF(ISNUMBER(INDEX(db_Vals,MATCH(Z$91,db_Dates,0),$B106)),INDEX(db_Vals,MATCH(Z$91,db_Dates,0),$B106),NA())),NA())</f>
        <v>#N/A</v>
      </c>
      <c r="AA106" t="e">
        <f>IFERROR(IF(OR($C106="",AA$91="",AA$91&gt;c_RefDate),NA(),IF(ISNUMBER(INDEX(db_Vals,MATCH(AA$91,db_Dates,0),$B106)),INDEX(db_Vals,MATCH(AA$91,db_Dates,0),$B106),NA())),NA())</f>
        <v>#N/A</v>
      </c>
      <c r="AB106" t="e">
        <f>IFERROR(IF(OR($C106="",AB$91="",AB$91&gt;c_RefDate),NA(),IF(ISNUMBER(INDEX(db_Vals,MATCH(AB$91,db_Dates,0),$B106)),INDEX(db_Vals,MATCH(AB$91,db_Dates,0),$B106),NA())),NA())</f>
        <v>#N/A</v>
      </c>
      <c r="AC106" t="e">
        <f>IFERROR(IF(OR($C106="",AC$91="",AC$91&gt;c_RefDate),NA(),IF(ISNUMBER(INDEX(db_Vals,MATCH(AC$91,db_Dates,0),$B106)),INDEX(db_Vals,MATCH(AC$91,db_Dates,0),$B106),NA())),NA())</f>
        <v>#N/A</v>
      </c>
      <c r="AD106" t="e">
        <f>IFERROR(IF(OR($C106="",AD$91="",AD$91&gt;c_RefDate),NA(),IF(ISNUMBER(INDEX(db_Vals,MATCH(AD$91,db_Dates,0),$B106)),INDEX(db_Vals,MATCH(AD$91,db_Dates,0),$B106),NA())),NA())</f>
        <v>#N/A</v>
      </c>
      <c r="AE106" t="e">
        <f>IFERROR(IF(OR($C106="",AE$91="",AE$91&gt;c_RefDate),NA(),IF(ISNUMBER(INDEX(db_Vals,MATCH(AE$91,db_Dates,0),$B106)),INDEX(db_Vals,MATCH(AE$91,db_Dates,0),$B106),NA())),NA())</f>
        <v>#N/A</v>
      </c>
      <c r="AF106" t="e">
        <f>IFERROR(IF(OR($C106="",AF$91="",AF$91&gt;c_RefDate),NA(),IF(ISNUMBER(INDEX(db_Vals,MATCH(AF$91,db_Dates,0),$B106)),INDEX(db_Vals,MATCH(AF$91,db_Dates,0),$B106),NA())),NA())</f>
        <v>#N/A</v>
      </c>
      <c r="AG106" t="e">
        <f>IFERROR(IF(OR($C106="",AG$91="",AG$91&gt;c_RefDate),NA(),IF(ISNUMBER(INDEX(db_Vals,MATCH(AG$91,db_Dates,0),$B106)),INDEX(db_Vals,MATCH(AG$91,db_Dates,0),$B106),NA())),NA())</f>
        <v>#N/A</v>
      </c>
      <c r="AH106" t="e">
        <f>IFERROR(IF(OR($C106="",AH$91="",AH$91&gt;c_RefDate),NA(),IF(ISNUMBER(INDEX(db_Vals,MATCH(AH$91,db_Dates,0),$B106)),INDEX(db_Vals,MATCH(AH$91,db_Dates,0),$B106),NA())),NA())</f>
        <v>#N/A</v>
      </c>
      <c r="AI106" t="e">
        <f>IFERROR(IF(OR($C106="",AI$91="",AI$91&gt;c_RefDate),NA(),IF(ISNUMBER(INDEX(db_Vals,MATCH(AI$91,db_Dates,0),$B106)),INDEX(db_Vals,MATCH(AI$91,db_Dates,0),$B106),NA())),NA())</f>
        <v>#N/A</v>
      </c>
      <c r="AJ106" t="e">
        <f>IFERROR(IF(OR($C106="",AJ$91="",AJ$91&gt;c_RefDate),NA(),IF(ISNUMBER(INDEX(db_Vals,MATCH(AJ$91,db_Dates,0),$B106)),INDEX(db_Vals,MATCH(AJ$91,db_Dates,0),$B106),NA())),NA())</f>
        <v>#N/A</v>
      </c>
      <c r="AK106" t="e">
        <f>IFERROR(IF(OR($C106="",AK$91="",AK$91&gt;c_RefDate),NA(),IF(ISNUMBER(INDEX(db_Vals,MATCH(AK$91,db_Dates,0),$B106)),INDEX(db_Vals,MATCH(AK$91,db_Dates,0),$B106),NA())),NA())</f>
        <v>#N/A</v>
      </c>
      <c r="AL106" t="e">
        <f>IFERROR(IF(OR($C106="",AL$91="",AL$91&gt;c_RefDate),NA(),IF(ISNUMBER(INDEX(db_Vals,MATCH(AL$91,db_Dates,0),$B106)),INDEX(db_Vals,MATCH(AL$91,db_Dates,0),$B106),NA())),NA())</f>
        <v>#N/A</v>
      </c>
      <c r="AM106" t="e">
        <f>IFERROR(IF(OR($C106="",AM$91="",AM$91&gt;c_RefDate),NA(),IF(ISNUMBER(INDEX(db_Vals,MATCH(AM$91,db_Dates,0),$B106)),INDEX(db_Vals,MATCH(AM$91,db_Dates,0),$B106),NA())),NA())</f>
        <v>#N/A</v>
      </c>
      <c r="AN106" t="e">
        <f>IFERROR(IF(OR($C106="",AN$91="",AN$91&gt;c_RefDate),NA(),IF(ISNUMBER(INDEX(db_Vals,MATCH(AN$91,db_Dates,0),$B106)),INDEX(db_Vals,MATCH(AN$91,db_Dates,0),$B106),NA())),NA())</f>
        <v>#N/A</v>
      </c>
      <c r="AO106" t="e">
        <f>IFERROR(IF(OR($C106="",AO$91="",AO$91&gt;c_RefDate),NA(),IF(ISNUMBER(INDEX(db_Vals,MATCH(AO$91,db_Dates,0),$B106)),INDEX(db_Vals,MATCH(AO$91,db_Dates,0),$B106),NA())),NA())</f>
        <v>#N/A</v>
      </c>
      <c r="AP106" t="e">
        <f>IFERROR(IF(OR($C106="",AP$91="",AP$91&gt;c_RefDate),NA(),IF(ISNUMBER(INDEX(db_Vals,MATCH(AP$91,db_Dates,0),$B106)),INDEX(db_Vals,MATCH(AP$91,db_Dates,0),$B106),NA())),NA())</f>
        <v>#N/A</v>
      </c>
    </row>
    <row r="107" spans="1:42">
      <c r="A107">
        <v>16</v>
      </c>
      <c r="B107">
        <f>MATCH(LARGE($J$46:$J$85,$A107),$J$46:$J$85,0)</f>
        <v>16.0</v>
      </c>
      <c r="C107" t="str">
        <f>INDEX($B$46:$B$85,$B107)</f>
        <v/>
      </c>
      <c r="D107" t="str">
        <f>INDEX($E$46:$E$85,$B107)</f>
        <v/>
      </c>
      <c r="E107">
        <f>INDEX($I$46:$I$85,$B107)</f>
        <v>-1.0</v>
      </c>
      <c r="F107" t="str">
        <f>INDEX($H$46:$H$85,$B107)</f>
        <v/>
      </c>
      <c r="G107">
        <f>INDEX($K$46:$K$85,$B107)</f>
        <v>0.0</v>
      </c>
      <c r="H107" s="130">
        <f>INDEX($D$46:$D$85,$B107)</f>
        <v>0.0</v>
      </c>
      <c r="L107" t="e">
        <f>IFERROR(IF(OR($C107="",L$91="",L$91&gt;c_RefDate),NA(),IF(ISNUMBER(INDEX(db_Vals,MATCH(L$91,db_Dates,0),$B107)),INDEX(db_Vals,MATCH(L$91,db_Dates,0),$B107),NA())),NA())</f>
        <v>#N/A</v>
      </c>
      <c r="M107" t="e">
        <f>IFERROR(IF(OR($C107="",M$91="",M$91&gt;c_RefDate),NA(),IF(ISNUMBER(INDEX(db_Vals,MATCH(M$91,db_Dates,0),$B107)),INDEX(db_Vals,MATCH(M$91,db_Dates,0),$B107),NA())),NA())</f>
        <v>#N/A</v>
      </c>
      <c r="N107" t="e">
        <f>IFERROR(IF(OR($C107="",N$91="",N$91&gt;c_RefDate),NA(),IF(ISNUMBER(INDEX(db_Vals,MATCH(N$91,db_Dates,0),$B107)),INDEX(db_Vals,MATCH(N$91,db_Dates,0),$B107),NA())),NA())</f>
        <v>#N/A</v>
      </c>
      <c r="O107" t="e">
        <f>IFERROR(IF(OR($C107="",O$91="",O$91&gt;c_RefDate),NA(),IF(ISNUMBER(INDEX(db_Vals,MATCH(O$91,db_Dates,0),$B107)),INDEX(db_Vals,MATCH(O$91,db_Dates,0),$B107),NA())),NA())</f>
        <v>#N/A</v>
      </c>
      <c r="P107" t="e">
        <f>IFERROR(IF(OR($C107="",P$91="",P$91&gt;c_RefDate),NA(),IF(ISNUMBER(INDEX(db_Vals,MATCH(P$91,db_Dates,0),$B107)),INDEX(db_Vals,MATCH(P$91,db_Dates,0),$B107),NA())),NA())</f>
        <v>#N/A</v>
      </c>
      <c r="Q107" t="e">
        <f>IFERROR(IF(OR($C107="",Q$91="",Q$91&gt;c_RefDate),NA(),IF(ISNUMBER(INDEX(db_Vals,MATCH(Q$91,db_Dates,0),$B107)),INDEX(db_Vals,MATCH(Q$91,db_Dates,0),$B107),NA())),NA())</f>
        <v>#N/A</v>
      </c>
      <c r="R107" t="e">
        <f>IFERROR(IF(OR($C107="",R$91="",R$91&gt;c_RefDate),NA(),IF(ISNUMBER(INDEX(db_Vals,MATCH(R$91,db_Dates,0),$B107)),INDEX(db_Vals,MATCH(R$91,db_Dates,0),$B107),NA())),NA())</f>
        <v>#N/A</v>
      </c>
      <c r="S107" t="e">
        <f>IFERROR(IF(OR($C107="",S$91="",S$91&gt;c_RefDate),NA(),IF(ISNUMBER(INDEX(db_Vals,MATCH(S$91,db_Dates,0),$B107)),INDEX(db_Vals,MATCH(S$91,db_Dates,0),$B107),NA())),NA())</f>
        <v>#N/A</v>
      </c>
      <c r="T107" t="e">
        <f>IFERROR(IF(OR($C107="",T$91="",T$91&gt;c_RefDate),NA(),IF(ISNUMBER(INDEX(db_Vals,MATCH(T$91,db_Dates,0),$B107)),INDEX(db_Vals,MATCH(T$91,db_Dates,0),$B107),NA())),NA())</f>
        <v>#N/A</v>
      </c>
      <c r="U107" t="e">
        <f>IFERROR(IF(OR($C107="",U$91="",U$91&gt;c_RefDate),NA(),IF(ISNUMBER(INDEX(db_Vals,MATCH(U$91,db_Dates,0),$B107)),INDEX(db_Vals,MATCH(U$91,db_Dates,0),$B107),NA())),NA())</f>
        <v>#N/A</v>
      </c>
      <c r="V107" t="e">
        <f>IFERROR(IF(OR($C107="",V$91="",V$91&gt;c_RefDate),NA(),IF(ISNUMBER(INDEX(db_Vals,MATCH(V$91,db_Dates,0),$B107)),INDEX(db_Vals,MATCH(V$91,db_Dates,0),$B107),NA())),NA())</f>
        <v>#N/A</v>
      </c>
      <c r="W107" t="e">
        <f>IFERROR(IF(OR($C107="",W$91="",W$91&gt;c_RefDate),NA(),IF(ISNUMBER(INDEX(db_Vals,MATCH(W$91,db_Dates,0),$B107)),INDEX(db_Vals,MATCH(W$91,db_Dates,0),$B107),NA())),NA())</f>
        <v>#N/A</v>
      </c>
      <c r="X107" t="e">
        <f>IFERROR(IF(OR($C107="",X$91="",X$91&gt;c_RefDate),NA(),IF(ISNUMBER(INDEX(db_Vals,MATCH(X$91,db_Dates,0),$B107)),INDEX(db_Vals,MATCH(X$91,db_Dates,0),$B107),NA())),NA())</f>
        <v>#N/A</v>
      </c>
      <c r="Y107" t="e">
        <f>IFERROR(IF(OR($C107="",Y$91="",Y$91&gt;c_RefDate),NA(),IF(ISNUMBER(INDEX(db_Vals,MATCH(Y$91,db_Dates,0),$B107)),INDEX(db_Vals,MATCH(Y$91,db_Dates,0),$B107),NA())),NA())</f>
        <v>#N/A</v>
      </c>
      <c r="Z107" t="e">
        <f>IFERROR(IF(OR($C107="",Z$91="",Z$91&gt;c_RefDate),NA(),IF(ISNUMBER(INDEX(db_Vals,MATCH(Z$91,db_Dates,0),$B107)),INDEX(db_Vals,MATCH(Z$91,db_Dates,0),$B107),NA())),NA())</f>
        <v>#N/A</v>
      </c>
      <c r="AA107" t="e">
        <f>IFERROR(IF(OR($C107="",AA$91="",AA$91&gt;c_RefDate),NA(),IF(ISNUMBER(INDEX(db_Vals,MATCH(AA$91,db_Dates,0),$B107)),INDEX(db_Vals,MATCH(AA$91,db_Dates,0),$B107),NA())),NA())</f>
        <v>#N/A</v>
      </c>
      <c r="AB107" t="e">
        <f>IFERROR(IF(OR($C107="",AB$91="",AB$91&gt;c_RefDate),NA(),IF(ISNUMBER(INDEX(db_Vals,MATCH(AB$91,db_Dates,0),$B107)),INDEX(db_Vals,MATCH(AB$91,db_Dates,0),$B107),NA())),NA())</f>
        <v>#N/A</v>
      </c>
      <c r="AC107" t="e">
        <f>IFERROR(IF(OR($C107="",AC$91="",AC$91&gt;c_RefDate),NA(),IF(ISNUMBER(INDEX(db_Vals,MATCH(AC$91,db_Dates,0),$B107)),INDEX(db_Vals,MATCH(AC$91,db_Dates,0),$B107),NA())),NA())</f>
        <v>#N/A</v>
      </c>
      <c r="AD107" t="e">
        <f>IFERROR(IF(OR($C107="",AD$91="",AD$91&gt;c_RefDate),NA(),IF(ISNUMBER(INDEX(db_Vals,MATCH(AD$91,db_Dates,0),$B107)),INDEX(db_Vals,MATCH(AD$91,db_Dates,0),$B107),NA())),NA())</f>
        <v>#N/A</v>
      </c>
      <c r="AE107" t="e">
        <f>IFERROR(IF(OR($C107="",AE$91="",AE$91&gt;c_RefDate),NA(),IF(ISNUMBER(INDEX(db_Vals,MATCH(AE$91,db_Dates,0),$B107)),INDEX(db_Vals,MATCH(AE$91,db_Dates,0),$B107),NA())),NA())</f>
        <v>#N/A</v>
      </c>
      <c r="AF107" t="e">
        <f>IFERROR(IF(OR($C107="",AF$91="",AF$91&gt;c_RefDate),NA(),IF(ISNUMBER(INDEX(db_Vals,MATCH(AF$91,db_Dates,0),$B107)),INDEX(db_Vals,MATCH(AF$91,db_Dates,0),$B107),NA())),NA())</f>
        <v>#N/A</v>
      </c>
      <c r="AG107" t="e">
        <f>IFERROR(IF(OR($C107="",AG$91="",AG$91&gt;c_RefDate),NA(),IF(ISNUMBER(INDEX(db_Vals,MATCH(AG$91,db_Dates,0),$B107)),INDEX(db_Vals,MATCH(AG$91,db_Dates,0),$B107),NA())),NA())</f>
        <v>#N/A</v>
      </c>
      <c r="AH107" t="e">
        <f>IFERROR(IF(OR($C107="",AH$91="",AH$91&gt;c_RefDate),NA(),IF(ISNUMBER(INDEX(db_Vals,MATCH(AH$91,db_Dates,0),$B107)),INDEX(db_Vals,MATCH(AH$91,db_Dates,0),$B107),NA())),NA())</f>
        <v>#N/A</v>
      </c>
      <c r="AI107" t="e">
        <f>IFERROR(IF(OR($C107="",AI$91="",AI$91&gt;c_RefDate),NA(),IF(ISNUMBER(INDEX(db_Vals,MATCH(AI$91,db_Dates,0),$B107)),INDEX(db_Vals,MATCH(AI$91,db_Dates,0),$B107),NA())),NA())</f>
        <v>#N/A</v>
      </c>
      <c r="AJ107" t="e">
        <f>IFERROR(IF(OR($C107="",AJ$91="",AJ$91&gt;c_RefDate),NA(),IF(ISNUMBER(INDEX(db_Vals,MATCH(AJ$91,db_Dates,0),$B107)),INDEX(db_Vals,MATCH(AJ$91,db_Dates,0),$B107),NA())),NA())</f>
        <v>#N/A</v>
      </c>
      <c r="AK107" t="e">
        <f>IFERROR(IF(OR($C107="",AK$91="",AK$91&gt;c_RefDate),NA(),IF(ISNUMBER(INDEX(db_Vals,MATCH(AK$91,db_Dates,0),$B107)),INDEX(db_Vals,MATCH(AK$91,db_Dates,0),$B107),NA())),NA())</f>
        <v>#N/A</v>
      </c>
      <c r="AL107" t="e">
        <f>IFERROR(IF(OR($C107="",AL$91="",AL$91&gt;c_RefDate),NA(),IF(ISNUMBER(INDEX(db_Vals,MATCH(AL$91,db_Dates,0),$B107)),INDEX(db_Vals,MATCH(AL$91,db_Dates,0),$B107),NA())),NA())</f>
        <v>#N/A</v>
      </c>
      <c r="AM107" t="e">
        <f>IFERROR(IF(OR($C107="",AM$91="",AM$91&gt;c_RefDate),NA(),IF(ISNUMBER(INDEX(db_Vals,MATCH(AM$91,db_Dates,0),$B107)),INDEX(db_Vals,MATCH(AM$91,db_Dates,0),$B107),NA())),NA())</f>
        <v>#N/A</v>
      </c>
      <c r="AN107" t="e">
        <f>IFERROR(IF(OR($C107="",AN$91="",AN$91&gt;c_RefDate),NA(),IF(ISNUMBER(INDEX(db_Vals,MATCH(AN$91,db_Dates,0),$B107)),INDEX(db_Vals,MATCH(AN$91,db_Dates,0),$B107),NA())),NA())</f>
        <v>#N/A</v>
      </c>
      <c r="AO107" t="e">
        <f>IFERROR(IF(OR($C107="",AO$91="",AO$91&gt;c_RefDate),NA(),IF(ISNUMBER(INDEX(db_Vals,MATCH(AO$91,db_Dates,0),$B107)),INDEX(db_Vals,MATCH(AO$91,db_Dates,0),$B107),NA())),NA())</f>
        <v>#N/A</v>
      </c>
      <c r="AP107" t="e">
        <f>IFERROR(IF(OR($C107="",AP$91="",AP$91&gt;c_RefDate),NA(),IF(ISNUMBER(INDEX(db_Vals,MATCH(AP$91,db_Dates,0),$B107)),INDEX(db_Vals,MATCH(AP$91,db_Dates,0),$B107),NA())),NA())</f>
        <v>#N/A</v>
      </c>
    </row>
    <row r="108" spans="1:42">
      <c r="A108">
        <v>17</v>
      </c>
      <c r="B108">
        <f>MATCH(LARGE($J$46:$J$85,$A108),$J$46:$J$85,0)</f>
        <v>17.0</v>
      </c>
      <c r="C108" t="str">
        <f>INDEX($B$46:$B$85,$B108)</f>
        <v/>
      </c>
      <c r="D108" t="str">
        <f>INDEX($E$46:$E$85,$B108)</f>
        <v/>
      </c>
      <c r="E108">
        <f>INDEX($I$46:$I$85,$B108)</f>
        <v>-1.0</v>
      </c>
      <c r="F108" t="str">
        <f>INDEX($H$46:$H$85,$B108)</f>
        <v/>
      </c>
      <c r="G108">
        <f>INDEX($K$46:$K$85,$B108)</f>
        <v>0.0</v>
      </c>
      <c r="H108" s="130">
        <f>INDEX($D$46:$D$85,$B108)</f>
        <v>0.0</v>
      </c>
      <c r="L108" t="e">
        <f>IFERROR(IF(OR($C108="",L$91="",L$91&gt;c_RefDate),NA(),IF(ISNUMBER(INDEX(db_Vals,MATCH(L$91,db_Dates,0),$B108)),INDEX(db_Vals,MATCH(L$91,db_Dates,0),$B108),NA())),NA())</f>
        <v>#N/A</v>
      </c>
      <c r="M108" t="e">
        <f>IFERROR(IF(OR($C108="",M$91="",M$91&gt;c_RefDate),NA(),IF(ISNUMBER(INDEX(db_Vals,MATCH(M$91,db_Dates,0),$B108)),INDEX(db_Vals,MATCH(M$91,db_Dates,0),$B108),NA())),NA())</f>
        <v>#N/A</v>
      </c>
      <c r="N108" t="e">
        <f>IFERROR(IF(OR($C108="",N$91="",N$91&gt;c_RefDate),NA(),IF(ISNUMBER(INDEX(db_Vals,MATCH(N$91,db_Dates,0),$B108)),INDEX(db_Vals,MATCH(N$91,db_Dates,0),$B108),NA())),NA())</f>
        <v>#N/A</v>
      </c>
      <c r="O108" t="e">
        <f>IFERROR(IF(OR($C108="",O$91="",O$91&gt;c_RefDate),NA(),IF(ISNUMBER(INDEX(db_Vals,MATCH(O$91,db_Dates,0),$B108)),INDEX(db_Vals,MATCH(O$91,db_Dates,0),$B108),NA())),NA())</f>
        <v>#N/A</v>
      </c>
      <c r="P108" t="e">
        <f>IFERROR(IF(OR($C108="",P$91="",P$91&gt;c_RefDate),NA(),IF(ISNUMBER(INDEX(db_Vals,MATCH(P$91,db_Dates,0),$B108)),INDEX(db_Vals,MATCH(P$91,db_Dates,0),$B108),NA())),NA())</f>
        <v>#N/A</v>
      </c>
      <c r="Q108" t="e">
        <f>IFERROR(IF(OR($C108="",Q$91="",Q$91&gt;c_RefDate),NA(),IF(ISNUMBER(INDEX(db_Vals,MATCH(Q$91,db_Dates,0),$B108)),INDEX(db_Vals,MATCH(Q$91,db_Dates,0),$B108),NA())),NA())</f>
        <v>#N/A</v>
      </c>
      <c r="R108" t="e">
        <f>IFERROR(IF(OR($C108="",R$91="",R$91&gt;c_RefDate),NA(),IF(ISNUMBER(INDEX(db_Vals,MATCH(R$91,db_Dates,0),$B108)),INDEX(db_Vals,MATCH(R$91,db_Dates,0),$B108),NA())),NA())</f>
        <v>#N/A</v>
      </c>
      <c r="S108" t="e">
        <f>IFERROR(IF(OR($C108="",S$91="",S$91&gt;c_RefDate),NA(),IF(ISNUMBER(INDEX(db_Vals,MATCH(S$91,db_Dates,0),$B108)),INDEX(db_Vals,MATCH(S$91,db_Dates,0),$B108),NA())),NA())</f>
        <v>#N/A</v>
      </c>
      <c r="T108" t="e">
        <f>IFERROR(IF(OR($C108="",T$91="",T$91&gt;c_RefDate),NA(),IF(ISNUMBER(INDEX(db_Vals,MATCH(T$91,db_Dates,0),$B108)),INDEX(db_Vals,MATCH(T$91,db_Dates,0),$B108),NA())),NA())</f>
        <v>#N/A</v>
      </c>
      <c r="U108" t="e">
        <f>IFERROR(IF(OR($C108="",U$91="",U$91&gt;c_RefDate),NA(),IF(ISNUMBER(INDEX(db_Vals,MATCH(U$91,db_Dates,0),$B108)),INDEX(db_Vals,MATCH(U$91,db_Dates,0),$B108),NA())),NA())</f>
        <v>#N/A</v>
      </c>
      <c r="V108" t="e">
        <f>IFERROR(IF(OR($C108="",V$91="",V$91&gt;c_RefDate),NA(),IF(ISNUMBER(INDEX(db_Vals,MATCH(V$91,db_Dates,0),$B108)),INDEX(db_Vals,MATCH(V$91,db_Dates,0),$B108),NA())),NA())</f>
        <v>#N/A</v>
      </c>
      <c r="W108" t="e">
        <f>IFERROR(IF(OR($C108="",W$91="",W$91&gt;c_RefDate),NA(),IF(ISNUMBER(INDEX(db_Vals,MATCH(W$91,db_Dates,0),$B108)),INDEX(db_Vals,MATCH(W$91,db_Dates,0),$B108),NA())),NA())</f>
        <v>#N/A</v>
      </c>
      <c r="X108" t="e">
        <f>IFERROR(IF(OR($C108="",X$91="",X$91&gt;c_RefDate),NA(),IF(ISNUMBER(INDEX(db_Vals,MATCH(X$91,db_Dates,0),$B108)),INDEX(db_Vals,MATCH(X$91,db_Dates,0),$B108),NA())),NA())</f>
        <v>#N/A</v>
      </c>
      <c r="Y108" t="e">
        <f>IFERROR(IF(OR($C108="",Y$91="",Y$91&gt;c_RefDate),NA(),IF(ISNUMBER(INDEX(db_Vals,MATCH(Y$91,db_Dates,0),$B108)),INDEX(db_Vals,MATCH(Y$91,db_Dates,0),$B108),NA())),NA())</f>
        <v>#N/A</v>
      </c>
      <c r="Z108" t="e">
        <f>IFERROR(IF(OR($C108="",Z$91="",Z$91&gt;c_RefDate),NA(),IF(ISNUMBER(INDEX(db_Vals,MATCH(Z$91,db_Dates,0),$B108)),INDEX(db_Vals,MATCH(Z$91,db_Dates,0),$B108),NA())),NA())</f>
        <v>#N/A</v>
      </c>
      <c r="AA108" t="e">
        <f>IFERROR(IF(OR($C108="",AA$91="",AA$91&gt;c_RefDate),NA(),IF(ISNUMBER(INDEX(db_Vals,MATCH(AA$91,db_Dates,0),$B108)),INDEX(db_Vals,MATCH(AA$91,db_Dates,0),$B108),NA())),NA())</f>
        <v>#N/A</v>
      </c>
      <c r="AB108" t="e">
        <f>IFERROR(IF(OR($C108="",AB$91="",AB$91&gt;c_RefDate),NA(),IF(ISNUMBER(INDEX(db_Vals,MATCH(AB$91,db_Dates,0),$B108)),INDEX(db_Vals,MATCH(AB$91,db_Dates,0),$B108),NA())),NA())</f>
        <v>#N/A</v>
      </c>
      <c r="AC108" t="e">
        <f>IFERROR(IF(OR($C108="",AC$91="",AC$91&gt;c_RefDate),NA(),IF(ISNUMBER(INDEX(db_Vals,MATCH(AC$91,db_Dates,0),$B108)),INDEX(db_Vals,MATCH(AC$91,db_Dates,0),$B108),NA())),NA())</f>
        <v>#N/A</v>
      </c>
      <c r="AD108" t="e">
        <f>IFERROR(IF(OR($C108="",AD$91="",AD$91&gt;c_RefDate),NA(),IF(ISNUMBER(INDEX(db_Vals,MATCH(AD$91,db_Dates,0),$B108)),INDEX(db_Vals,MATCH(AD$91,db_Dates,0),$B108),NA())),NA())</f>
        <v>#N/A</v>
      </c>
      <c r="AE108" t="e">
        <f>IFERROR(IF(OR($C108="",AE$91="",AE$91&gt;c_RefDate),NA(),IF(ISNUMBER(INDEX(db_Vals,MATCH(AE$91,db_Dates,0),$B108)),INDEX(db_Vals,MATCH(AE$91,db_Dates,0),$B108),NA())),NA())</f>
        <v>#N/A</v>
      </c>
      <c r="AF108" t="e">
        <f>IFERROR(IF(OR($C108="",AF$91="",AF$91&gt;c_RefDate),NA(),IF(ISNUMBER(INDEX(db_Vals,MATCH(AF$91,db_Dates,0),$B108)),INDEX(db_Vals,MATCH(AF$91,db_Dates,0),$B108),NA())),NA())</f>
        <v>#N/A</v>
      </c>
      <c r="AG108" t="e">
        <f>IFERROR(IF(OR($C108="",AG$91="",AG$91&gt;c_RefDate),NA(),IF(ISNUMBER(INDEX(db_Vals,MATCH(AG$91,db_Dates,0),$B108)),INDEX(db_Vals,MATCH(AG$91,db_Dates,0),$B108),NA())),NA())</f>
        <v>#N/A</v>
      </c>
      <c r="AH108" t="e">
        <f>IFERROR(IF(OR($C108="",AH$91="",AH$91&gt;c_RefDate),NA(),IF(ISNUMBER(INDEX(db_Vals,MATCH(AH$91,db_Dates,0),$B108)),INDEX(db_Vals,MATCH(AH$91,db_Dates,0),$B108),NA())),NA())</f>
        <v>#N/A</v>
      </c>
      <c r="AI108" t="e">
        <f>IFERROR(IF(OR($C108="",AI$91="",AI$91&gt;c_RefDate),NA(),IF(ISNUMBER(INDEX(db_Vals,MATCH(AI$91,db_Dates,0),$B108)),INDEX(db_Vals,MATCH(AI$91,db_Dates,0),$B108),NA())),NA())</f>
        <v>#N/A</v>
      </c>
      <c r="AJ108" t="e">
        <f>IFERROR(IF(OR($C108="",AJ$91="",AJ$91&gt;c_RefDate),NA(),IF(ISNUMBER(INDEX(db_Vals,MATCH(AJ$91,db_Dates,0),$B108)),INDEX(db_Vals,MATCH(AJ$91,db_Dates,0),$B108),NA())),NA())</f>
        <v>#N/A</v>
      </c>
      <c r="AK108" t="e">
        <f>IFERROR(IF(OR($C108="",AK$91="",AK$91&gt;c_RefDate),NA(),IF(ISNUMBER(INDEX(db_Vals,MATCH(AK$91,db_Dates,0),$B108)),INDEX(db_Vals,MATCH(AK$91,db_Dates,0),$B108),NA())),NA())</f>
        <v>#N/A</v>
      </c>
      <c r="AL108" t="e">
        <f>IFERROR(IF(OR($C108="",AL$91="",AL$91&gt;c_RefDate),NA(),IF(ISNUMBER(INDEX(db_Vals,MATCH(AL$91,db_Dates,0),$B108)),INDEX(db_Vals,MATCH(AL$91,db_Dates,0),$B108),NA())),NA())</f>
        <v>#N/A</v>
      </c>
      <c r="AM108" t="e">
        <f>IFERROR(IF(OR($C108="",AM$91="",AM$91&gt;c_RefDate),NA(),IF(ISNUMBER(INDEX(db_Vals,MATCH(AM$91,db_Dates,0),$B108)),INDEX(db_Vals,MATCH(AM$91,db_Dates,0),$B108),NA())),NA())</f>
        <v>#N/A</v>
      </c>
      <c r="AN108" t="e">
        <f>IFERROR(IF(OR($C108="",AN$91="",AN$91&gt;c_RefDate),NA(),IF(ISNUMBER(INDEX(db_Vals,MATCH(AN$91,db_Dates,0),$B108)),INDEX(db_Vals,MATCH(AN$91,db_Dates,0),$B108),NA())),NA())</f>
        <v>#N/A</v>
      </c>
      <c r="AO108" t="e">
        <f>IFERROR(IF(OR($C108="",AO$91="",AO$91&gt;c_RefDate),NA(),IF(ISNUMBER(INDEX(db_Vals,MATCH(AO$91,db_Dates,0),$B108)),INDEX(db_Vals,MATCH(AO$91,db_Dates,0),$B108),NA())),NA())</f>
        <v>#N/A</v>
      </c>
      <c r="AP108" t="e">
        <f>IFERROR(IF(OR($C108="",AP$91="",AP$91&gt;c_RefDate),NA(),IF(ISNUMBER(INDEX(db_Vals,MATCH(AP$91,db_Dates,0),$B108)),INDEX(db_Vals,MATCH(AP$91,db_Dates,0),$B108),NA())),NA())</f>
        <v>#N/A</v>
      </c>
    </row>
    <row r="109" spans="1:42">
      <c r="A109">
        <v>18</v>
      </c>
      <c r="B109">
        <f>MATCH(LARGE($J$46:$J$85,$A109),$J$46:$J$85,0)</f>
        <v>18.0</v>
      </c>
      <c r="C109" t="str">
        <f>INDEX($B$46:$B$85,$B109)</f>
        <v/>
      </c>
      <c r="D109" t="str">
        <f>INDEX($E$46:$E$85,$B109)</f>
        <v/>
      </c>
      <c r="E109">
        <f>INDEX($I$46:$I$85,$B109)</f>
        <v>-1.0</v>
      </c>
      <c r="F109" t="str">
        <f>INDEX($H$46:$H$85,$B109)</f>
        <v/>
      </c>
      <c r="G109">
        <f>INDEX($K$46:$K$85,$B109)</f>
        <v>0.0</v>
      </c>
      <c r="H109" s="130">
        <f>INDEX($D$46:$D$85,$B109)</f>
        <v>0.0</v>
      </c>
      <c r="L109" t="e">
        <f>IFERROR(IF(OR($C109="",L$91="",L$91&gt;c_RefDate),NA(),IF(ISNUMBER(INDEX(db_Vals,MATCH(L$91,db_Dates,0),$B109)),INDEX(db_Vals,MATCH(L$91,db_Dates,0),$B109),NA())),NA())</f>
        <v>#N/A</v>
      </c>
      <c r="M109" t="e">
        <f>IFERROR(IF(OR($C109="",M$91="",M$91&gt;c_RefDate),NA(),IF(ISNUMBER(INDEX(db_Vals,MATCH(M$91,db_Dates,0),$B109)),INDEX(db_Vals,MATCH(M$91,db_Dates,0),$B109),NA())),NA())</f>
        <v>#N/A</v>
      </c>
      <c r="N109" t="e">
        <f>IFERROR(IF(OR($C109="",N$91="",N$91&gt;c_RefDate),NA(),IF(ISNUMBER(INDEX(db_Vals,MATCH(N$91,db_Dates,0),$B109)),INDEX(db_Vals,MATCH(N$91,db_Dates,0),$B109),NA())),NA())</f>
        <v>#N/A</v>
      </c>
      <c r="O109" t="e">
        <f>IFERROR(IF(OR($C109="",O$91="",O$91&gt;c_RefDate),NA(),IF(ISNUMBER(INDEX(db_Vals,MATCH(O$91,db_Dates,0),$B109)),INDEX(db_Vals,MATCH(O$91,db_Dates,0),$B109),NA())),NA())</f>
        <v>#N/A</v>
      </c>
      <c r="P109" t="e">
        <f>IFERROR(IF(OR($C109="",P$91="",P$91&gt;c_RefDate),NA(),IF(ISNUMBER(INDEX(db_Vals,MATCH(P$91,db_Dates,0),$B109)),INDEX(db_Vals,MATCH(P$91,db_Dates,0),$B109),NA())),NA())</f>
        <v>#N/A</v>
      </c>
      <c r="Q109" t="e">
        <f>IFERROR(IF(OR($C109="",Q$91="",Q$91&gt;c_RefDate),NA(),IF(ISNUMBER(INDEX(db_Vals,MATCH(Q$91,db_Dates,0),$B109)),INDEX(db_Vals,MATCH(Q$91,db_Dates,0),$B109),NA())),NA())</f>
        <v>#N/A</v>
      </c>
      <c r="R109" t="e">
        <f>IFERROR(IF(OR($C109="",R$91="",R$91&gt;c_RefDate),NA(),IF(ISNUMBER(INDEX(db_Vals,MATCH(R$91,db_Dates,0),$B109)),INDEX(db_Vals,MATCH(R$91,db_Dates,0),$B109),NA())),NA())</f>
        <v>#N/A</v>
      </c>
      <c r="S109" t="e">
        <f>IFERROR(IF(OR($C109="",S$91="",S$91&gt;c_RefDate),NA(),IF(ISNUMBER(INDEX(db_Vals,MATCH(S$91,db_Dates,0),$B109)),INDEX(db_Vals,MATCH(S$91,db_Dates,0),$B109),NA())),NA())</f>
        <v>#N/A</v>
      </c>
      <c r="T109" t="e">
        <f>IFERROR(IF(OR($C109="",T$91="",T$91&gt;c_RefDate),NA(),IF(ISNUMBER(INDEX(db_Vals,MATCH(T$91,db_Dates,0),$B109)),INDEX(db_Vals,MATCH(T$91,db_Dates,0),$B109),NA())),NA())</f>
        <v>#N/A</v>
      </c>
      <c r="U109" t="e">
        <f>IFERROR(IF(OR($C109="",U$91="",U$91&gt;c_RefDate),NA(),IF(ISNUMBER(INDEX(db_Vals,MATCH(U$91,db_Dates,0),$B109)),INDEX(db_Vals,MATCH(U$91,db_Dates,0),$B109),NA())),NA())</f>
        <v>#N/A</v>
      </c>
      <c r="V109" t="e">
        <f>IFERROR(IF(OR($C109="",V$91="",V$91&gt;c_RefDate),NA(),IF(ISNUMBER(INDEX(db_Vals,MATCH(V$91,db_Dates,0),$B109)),INDEX(db_Vals,MATCH(V$91,db_Dates,0),$B109),NA())),NA())</f>
        <v>#N/A</v>
      </c>
      <c r="W109" t="e">
        <f>IFERROR(IF(OR($C109="",W$91="",W$91&gt;c_RefDate),NA(),IF(ISNUMBER(INDEX(db_Vals,MATCH(W$91,db_Dates,0),$B109)),INDEX(db_Vals,MATCH(W$91,db_Dates,0),$B109),NA())),NA())</f>
        <v>#N/A</v>
      </c>
      <c r="X109" t="e">
        <f>IFERROR(IF(OR($C109="",X$91="",X$91&gt;c_RefDate),NA(),IF(ISNUMBER(INDEX(db_Vals,MATCH(X$91,db_Dates,0),$B109)),INDEX(db_Vals,MATCH(X$91,db_Dates,0),$B109),NA())),NA())</f>
        <v>#N/A</v>
      </c>
      <c r="Y109" t="e">
        <f>IFERROR(IF(OR($C109="",Y$91="",Y$91&gt;c_RefDate),NA(),IF(ISNUMBER(INDEX(db_Vals,MATCH(Y$91,db_Dates,0),$B109)),INDEX(db_Vals,MATCH(Y$91,db_Dates,0),$B109),NA())),NA())</f>
        <v>#N/A</v>
      </c>
      <c r="Z109" t="e">
        <f>IFERROR(IF(OR($C109="",Z$91="",Z$91&gt;c_RefDate),NA(),IF(ISNUMBER(INDEX(db_Vals,MATCH(Z$91,db_Dates,0),$B109)),INDEX(db_Vals,MATCH(Z$91,db_Dates,0),$B109),NA())),NA())</f>
        <v>#N/A</v>
      </c>
      <c r="AA109" t="e">
        <f>IFERROR(IF(OR($C109="",AA$91="",AA$91&gt;c_RefDate),NA(),IF(ISNUMBER(INDEX(db_Vals,MATCH(AA$91,db_Dates,0),$B109)),INDEX(db_Vals,MATCH(AA$91,db_Dates,0),$B109),NA())),NA())</f>
        <v>#N/A</v>
      </c>
      <c r="AB109" t="e">
        <f>IFERROR(IF(OR($C109="",AB$91="",AB$91&gt;c_RefDate),NA(),IF(ISNUMBER(INDEX(db_Vals,MATCH(AB$91,db_Dates,0),$B109)),INDEX(db_Vals,MATCH(AB$91,db_Dates,0),$B109),NA())),NA())</f>
        <v>#N/A</v>
      </c>
      <c r="AC109" t="e">
        <f>IFERROR(IF(OR($C109="",AC$91="",AC$91&gt;c_RefDate),NA(),IF(ISNUMBER(INDEX(db_Vals,MATCH(AC$91,db_Dates,0),$B109)),INDEX(db_Vals,MATCH(AC$91,db_Dates,0),$B109),NA())),NA())</f>
        <v>#N/A</v>
      </c>
      <c r="AD109" t="e">
        <f>IFERROR(IF(OR($C109="",AD$91="",AD$91&gt;c_RefDate),NA(),IF(ISNUMBER(INDEX(db_Vals,MATCH(AD$91,db_Dates,0),$B109)),INDEX(db_Vals,MATCH(AD$91,db_Dates,0),$B109),NA())),NA())</f>
        <v>#N/A</v>
      </c>
      <c r="AE109" t="e">
        <f>IFERROR(IF(OR($C109="",AE$91="",AE$91&gt;c_RefDate),NA(),IF(ISNUMBER(INDEX(db_Vals,MATCH(AE$91,db_Dates,0),$B109)),INDEX(db_Vals,MATCH(AE$91,db_Dates,0),$B109),NA())),NA())</f>
        <v>#N/A</v>
      </c>
      <c r="AF109" t="e">
        <f>IFERROR(IF(OR($C109="",AF$91="",AF$91&gt;c_RefDate),NA(),IF(ISNUMBER(INDEX(db_Vals,MATCH(AF$91,db_Dates,0),$B109)),INDEX(db_Vals,MATCH(AF$91,db_Dates,0),$B109),NA())),NA())</f>
        <v>#N/A</v>
      </c>
      <c r="AG109" t="e">
        <f>IFERROR(IF(OR($C109="",AG$91="",AG$91&gt;c_RefDate),NA(),IF(ISNUMBER(INDEX(db_Vals,MATCH(AG$91,db_Dates,0),$B109)),INDEX(db_Vals,MATCH(AG$91,db_Dates,0),$B109),NA())),NA())</f>
        <v>#N/A</v>
      </c>
      <c r="AH109" t="e">
        <f>IFERROR(IF(OR($C109="",AH$91="",AH$91&gt;c_RefDate),NA(),IF(ISNUMBER(INDEX(db_Vals,MATCH(AH$91,db_Dates,0),$B109)),INDEX(db_Vals,MATCH(AH$91,db_Dates,0),$B109),NA())),NA())</f>
        <v>#N/A</v>
      </c>
      <c r="AI109" t="e">
        <f>IFERROR(IF(OR($C109="",AI$91="",AI$91&gt;c_RefDate),NA(),IF(ISNUMBER(INDEX(db_Vals,MATCH(AI$91,db_Dates,0),$B109)),INDEX(db_Vals,MATCH(AI$91,db_Dates,0),$B109),NA())),NA())</f>
        <v>#N/A</v>
      </c>
      <c r="AJ109" t="e">
        <f>IFERROR(IF(OR($C109="",AJ$91="",AJ$91&gt;c_RefDate),NA(),IF(ISNUMBER(INDEX(db_Vals,MATCH(AJ$91,db_Dates,0),$B109)),INDEX(db_Vals,MATCH(AJ$91,db_Dates,0),$B109),NA())),NA())</f>
        <v>#N/A</v>
      </c>
      <c r="AK109" t="e">
        <f>IFERROR(IF(OR($C109="",AK$91="",AK$91&gt;c_RefDate),NA(),IF(ISNUMBER(INDEX(db_Vals,MATCH(AK$91,db_Dates,0),$B109)),INDEX(db_Vals,MATCH(AK$91,db_Dates,0),$B109),NA())),NA())</f>
        <v>#N/A</v>
      </c>
      <c r="AL109" t="e">
        <f>IFERROR(IF(OR($C109="",AL$91="",AL$91&gt;c_RefDate),NA(),IF(ISNUMBER(INDEX(db_Vals,MATCH(AL$91,db_Dates,0),$B109)),INDEX(db_Vals,MATCH(AL$91,db_Dates,0),$B109),NA())),NA())</f>
        <v>#N/A</v>
      </c>
      <c r="AM109" t="e">
        <f>IFERROR(IF(OR($C109="",AM$91="",AM$91&gt;c_RefDate),NA(),IF(ISNUMBER(INDEX(db_Vals,MATCH(AM$91,db_Dates,0),$B109)),INDEX(db_Vals,MATCH(AM$91,db_Dates,0),$B109),NA())),NA())</f>
        <v>#N/A</v>
      </c>
      <c r="AN109" t="e">
        <f>IFERROR(IF(OR($C109="",AN$91="",AN$91&gt;c_RefDate),NA(),IF(ISNUMBER(INDEX(db_Vals,MATCH(AN$91,db_Dates,0),$B109)),INDEX(db_Vals,MATCH(AN$91,db_Dates,0),$B109),NA())),NA())</f>
        <v>#N/A</v>
      </c>
      <c r="AO109" t="e">
        <f>IFERROR(IF(OR($C109="",AO$91="",AO$91&gt;c_RefDate),NA(),IF(ISNUMBER(INDEX(db_Vals,MATCH(AO$91,db_Dates,0),$B109)),INDEX(db_Vals,MATCH(AO$91,db_Dates,0),$B109),NA())),NA())</f>
        <v>#N/A</v>
      </c>
      <c r="AP109" t="e">
        <f>IFERROR(IF(OR($C109="",AP$91="",AP$91&gt;c_RefDate),NA(),IF(ISNUMBER(INDEX(db_Vals,MATCH(AP$91,db_Dates,0),$B109)),INDEX(db_Vals,MATCH(AP$91,db_Dates,0),$B109),NA())),NA())</f>
        <v>#N/A</v>
      </c>
    </row>
    <row r="110" spans="1:42">
      <c r="A110">
        <v>19</v>
      </c>
      <c r="B110">
        <f>MATCH(LARGE($J$46:$J$85,$A110),$J$46:$J$85,0)</f>
        <v>19.0</v>
      </c>
      <c r="C110" t="str">
        <f>INDEX($B$46:$B$85,$B110)</f>
        <v/>
      </c>
      <c r="D110" t="str">
        <f>INDEX($E$46:$E$85,$B110)</f>
        <v/>
      </c>
      <c r="E110">
        <f>INDEX($I$46:$I$85,$B110)</f>
        <v>-1.0</v>
      </c>
      <c r="F110" t="str">
        <f>INDEX($H$46:$H$85,$B110)</f>
        <v/>
      </c>
      <c r="G110">
        <f>INDEX($K$46:$K$85,$B110)</f>
        <v>0.0</v>
      </c>
      <c r="H110" s="130">
        <f>INDEX($D$46:$D$85,$B110)</f>
        <v>0.0</v>
      </c>
      <c r="L110" t="e">
        <f>IFERROR(IF(OR($C110="",L$91="",L$91&gt;c_RefDate),NA(),IF(ISNUMBER(INDEX(db_Vals,MATCH(L$91,db_Dates,0),$B110)),INDEX(db_Vals,MATCH(L$91,db_Dates,0),$B110),NA())),NA())</f>
        <v>#N/A</v>
      </c>
      <c r="M110" t="e">
        <f>IFERROR(IF(OR($C110="",M$91="",M$91&gt;c_RefDate),NA(),IF(ISNUMBER(INDEX(db_Vals,MATCH(M$91,db_Dates,0),$B110)),INDEX(db_Vals,MATCH(M$91,db_Dates,0),$B110),NA())),NA())</f>
        <v>#N/A</v>
      </c>
      <c r="N110" t="e">
        <f>IFERROR(IF(OR($C110="",N$91="",N$91&gt;c_RefDate),NA(),IF(ISNUMBER(INDEX(db_Vals,MATCH(N$91,db_Dates,0),$B110)),INDEX(db_Vals,MATCH(N$91,db_Dates,0),$B110),NA())),NA())</f>
        <v>#N/A</v>
      </c>
      <c r="O110" t="e">
        <f>IFERROR(IF(OR($C110="",O$91="",O$91&gt;c_RefDate),NA(),IF(ISNUMBER(INDEX(db_Vals,MATCH(O$91,db_Dates,0),$B110)),INDEX(db_Vals,MATCH(O$91,db_Dates,0),$B110),NA())),NA())</f>
        <v>#N/A</v>
      </c>
      <c r="P110" t="e">
        <f>IFERROR(IF(OR($C110="",P$91="",P$91&gt;c_RefDate),NA(),IF(ISNUMBER(INDEX(db_Vals,MATCH(P$91,db_Dates,0),$B110)),INDEX(db_Vals,MATCH(P$91,db_Dates,0),$B110),NA())),NA())</f>
        <v>#N/A</v>
      </c>
      <c r="Q110" t="e">
        <f>IFERROR(IF(OR($C110="",Q$91="",Q$91&gt;c_RefDate),NA(),IF(ISNUMBER(INDEX(db_Vals,MATCH(Q$91,db_Dates,0),$B110)),INDEX(db_Vals,MATCH(Q$91,db_Dates,0),$B110),NA())),NA())</f>
        <v>#N/A</v>
      </c>
      <c r="R110" t="e">
        <f>IFERROR(IF(OR($C110="",R$91="",R$91&gt;c_RefDate),NA(),IF(ISNUMBER(INDEX(db_Vals,MATCH(R$91,db_Dates,0),$B110)),INDEX(db_Vals,MATCH(R$91,db_Dates,0),$B110),NA())),NA())</f>
        <v>#N/A</v>
      </c>
      <c r="S110" t="e">
        <f>IFERROR(IF(OR($C110="",S$91="",S$91&gt;c_RefDate),NA(),IF(ISNUMBER(INDEX(db_Vals,MATCH(S$91,db_Dates,0),$B110)),INDEX(db_Vals,MATCH(S$91,db_Dates,0),$B110),NA())),NA())</f>
        <v>#N/A</v>
      </c>
      <c r="T110" t="e">
        <f>IFERROR(IF(OR($C110="",T$91="",T$91&gt;c_RefDate),NA(),IF(ISNUMBER(INDEX(db_Vals,MATCH(T$91,db_Dates,0),$B110)),INDEX(db_Vals,MATCH(T$91,db_Dates,0),$B110),NA())),NA())</f>
        <v>#N/A</v>
      </c>
      <c r="U110" t="e">
        <f>IFERROR(IF(OR($C110="",U$91="",U$91&gt;c_RefDate),NA(),IF(ISNUMBER(INDEX(db_Vals,MATCH(U$91,db_Dates,0),$B110)),INDEX(db_Vals,MATCH(U$91,db_Dates,0),$B110),NA())),NA())</f>
        <v>#N/A</v>
      </c>
      <c r="V110" t="e">
        <f>IFERROR(IF(OR($C110="",V$91="",V$91&gt;c_RefDate),NA(),IF(ISNUMBER(INDEX(db_Vals,MATCH(V$91,db_Dates,0),$B110)),INDEX(db_Vals,MATCH(V$91,db_Dates,0),$B110),NA())),NA())</f>
        <v>#N/A</v>
      </c>
      <c r="W110" t="e">
        <f>IFERROR(IF(OR($C110="",W$91="",W$91&gt;c_RefDate),NA(),IF(ISNUMBER(INDEX(db_Vals,MATCH(W$91,db_Dates,0),$B110)),INDEX(db_Vals,MATCH(W$91,db_Dates,0),$B110),NA())),NA())</f>
        <v>#N/A</v>
      </c>
      <c r="X110" t="e">
        <f>IFERROR(IF(OR($C110="",X$91="",X$91&gt;c_RefDate),NA(),IF(ISNUMBER(INDEX(db_Vals,MATCH(X$91,db_Dates,0),$B110)),INDEX(db_Vals,MATCH(X$91,db_Dates,0),$B110),NA())),NA())</f>
        <v>#N/A</v>
      </c>
      <c r="Y110" t="e">
        <f>IFERROR(IF(OR($C110="",Y$91="",Y$91&gt;c_RefDate),NA(),IF(ISNUMBER(INDEX(db_Vals,MATCH(Y$91,db_Dates,0),$B110)),INDEX(db_Vals,MATCH(Y$91,db_Dates,0),$B110),NA())),NA())</f>
        <v>#N/A</v>
      </c>
      <c r="Z110" t="e">
        <f>IFERROR(IF(OR($C110="",Z$91="",Z$91&gt;c_RefDate),NA(),IF(ISNUMBER(INDEX(db_Vals,MATCH(Z$91,db_Dates,0),$B110)),INDEX(db_Vals,MATCH(Z$91,db_Dates,0),$B110),NA())),NA())</f>
        <v>#N/A</v>
      </c>
      <c r="AA110" t="e">
        <f>IFERROR(IF(OR($C110="",AA$91="",AA$91&gt;c_RefDate),NA(),IF(ISNUMBER(INDEX(db_Vals,MATCH(AA$91,db_Dates,0),$B110)),INDEX(db_Vals,MATCH(AA$91,db_Dates,0),$B110),NA())),NA())</f>
        <v>#N/A</v>
      </c>
      <c r="AB110" t="e">
        <f>IFERROR(IF(OR($C110="",AB$91="",AB$91&gt;c_RefDate),NA(),IF(ISNUMBER(INDEX(db_Vals,MATCH(AB$91,db_Dates,0),$B110)),INDEX(db_Vals,MATCH(AB$91,db_Dates,0),$B110),NA())),NA())</f>
        <v>#N/A</v>
      </c>
      <c r="AC110" t="e">
        <f>IFERROR(IF(OR($C110="",AC$91="",AC$91&gt;c_RefDate),NA(),IF(ISNUMBER(INDEX(db_Vals,MATCH(AC$91,db_Dates,0),$B110)),INDEX(db_Vals,MATCH(AC$91,db_Dates,0),$B110),NA())),NA())</f>
        <v>#N/A</v>
      </c>
      <c r="AD110" t="e">
        <f>IFERROR(IF(OR($C110="",AD$91="",AD$91&gt;c_RefDate),NA(),IF(ISNUMBER(INDEX(db_Vals,MATCH(AD$91,db_Dates,0),$B110)),INDEX(db_Vals,MATCH(AD$91,db_Dates,0),$B110),NA())),NA())</f>
        <v>#N/A</v>
      </c>
      <c r="AE110" t="e">
        <f>IFERROR(IF(OR($C110="",AE$91="",AE$91&gt;c_RefDate),NA(),IF(ISNUMBER(INDEX(db_Vals,MATCH(AE$91,db_Dates,0),$B110)),INDEX(db_Vals,MATCH(AE$91,db_Dates,0),$B110),NA())),NA())</f>
        <v>#N/A</v>
      </c>
      <c r="AF110" t="e">
        <f>IFERROR(IF(OR($C110="",AF$91="",AF$91&gt;c_RefDate),NA(),IF(ISNUMBER(INDEX(db_Vals,MATCH(AF$91,db_Dates,0),$B110)),INDEX(db_Vals,MATCH(AF$91,db_Dates,0),$B110),NA())),NA())</f>
        <v>#N/A</v>
      </c>
      <c r="AG110" t="e">
        <f>IFERROR(IF(OR($C110="",AG$91="",AG$91&gt;c_RefDate),NA(),IF(ISNUMBER(INDEX(db_Vals,MATCH(AG$91,db_Dates,0),$B110)),INDEX(db_Vals,MATCH(AG$91,db_Dates,0),$B110),NA())),NA())</f>
        <v>#N/A</v>
      </c>
      <c r="AH110" t="e">
        <f>IFERROR(IF(OR($C110="",AH$91="",AH$91&gt;c_RefDate),NA(),IF(ISNUMBER(INDEX(db_Vals,MATCH(AH$91,db_Dates,0),$B110)),INDEX(db_Vals,MATCH(AH$91,db_Dates,0),$B110),NA())),NA())</f>
        <v>#N/A</v>
      </c>
      <c r="AI110" t="e">
        <f>IFERROR(IF(OR($C110="",AI$91="",AI$91&gt;c_RefDate),NA(),IF(ISNUMBER(INDEX(db_Vals,MATCH(AI$91,db_Dates,0),$B110)),INDEX(db_Vals,MATCH(AI$91,db_Dates,0),$B110),NA())),NA())</f>
        <v>#N/A</v>
      </c>
      <c r="AJ110" t="e">
        <f>IFERROR(IF(OR($C110="",AJ$91="",AJ$91&gt;c_RefDate),NA(),IF(ISNUMBER(INDEX(db_Vals,MATCH(AJ$91,db_Dates,0),$B110)),INDEX(db_Vals,MATCH(AJ$91,db_Dates,0),$B110),NA())),NA())</f>
        <v>#N/A</v>
      </c>
      <c r="AK110" t="e">
        <f>IFERROR(IF(OR($C110="",AK$91="",AK$91&gt;c_RefDate),NA(),IF(ISNUMBER(INDEX(db_Vals,MATCH(AK$91,db_Dates,0),$B110)),INDEX(db_Vals,MATCH(AK$91,db_Dates,0),$B110),NA())),NA())</f>
        <v>#N/A</v>
      </c>
      <c r="AL110" t="e">
        <f>IFERROR(IF(OR($C110="",AL$91="",AL$91&gt;c_RefDate),NA(),IF(ISNUMBER(INDEX(db_Vals,MATCH(AL$91,db_Dates,0),$B110)),INDEX(db_Vals,MATCH(AL$91,db_Dates,0),$B110),NA())),NA())</f>
        <v>#N/A</v>
      </c>
      <c r="AM110" t="e">
        <f>IFERROR(IF(OR($C110="",AM$91="",AM$91&gt;c_RefDate),NA(),IF(ISNUMBER(INDEX(db_Vals,MATCH(AM$91,db_Dates,0),$B110)),INDEX(db_Vals,MATCH(AM$91,db_Dates,0),$B110),NA())),NA())</f>
        <v>#N/A</v>
      </c>
      <c r="AN110" t="e">
        <f>IFERROR(IF(OR($C110="",AN$91="",AN$91&gt;c_RefDate),NA(),IF(ISNUMBER(INDEX(db_Vals,MATCH(AN$91,db_Dates,0),$B110)),INDEX(db_Vals,MATCH(AN$91,db_Dates,0),$B110),NA())),NA())</f>
        <v>#N/A</v>
      </c>
      <c r="AO110" t="e">
        <f>IFERROR(IF(OR($C110="",AO$91="",AO$91&gt;c_RefDate),NA(),IF(ISNUMBER(INDEX(db_Vals,MATCH(AO$91,db_Dates,0),$B110)),INDEX(db_Vals,MATCH(AO$91,db_Dates,0),$B110),NA())),NA())</f>
        <v>#N/A</v>
      </c>
      <c r="AP110" t="e">
        <f>IFERROR(IF(OR($C110="",AP$91="",AP$91&gt;c_RefDate),NA(),IF(ISNUMBER(INDEX(db_Vals,MATCH(AP$91,db_Dates,0),$B110)),INDEX(db_Vals,MATCH(AP$91,db_Dates,0),$B110),NA())),NA())</f>
        <v>#N/A</v>
      </c>
    </row>
    <row r="111" spans="1:42">
      <c r="A111">
        <v>20</v>
      </c>
      <c r="B111">
        <f>MATCH(LARGE($J$46:$J$85,$A111),$J$46:$J$85,0)</f>
        <v>20.0</v>
      </c>
      <c r="C111" t="str">
        <f>INDEX($B$46:$B$85,$B111)</f>
        <v/>
      </c>
      <c r="D111" t="str">
        <f>INDEX($E$46:$E$85,$B111)</f>
        <v/>
      </c>
      <c r="E111">
        <f>INDEX($I$46:$I$85,$B111)</f>
        <v>-1.0</v>
      </c>
      <c r="F111" t="str">
        <f>INDEX($H$46:$H$85,$B111)</f>
        <v/>
      </c>
      <c r="G111">
        <f>INDEX($K$46:$K$85,$B111)</f>
        <v>0.0</v>
      </c>
      <c r="H111" s="130">
        <f>INDEX($D$46:$D$85,$B111)</f>
        <v>0.0</v>
      </c>
      <c r="L111" t="e">
        <f>IFERROR(IF(OR($C111="",L$91="",L$91&gt;c_RefDate),NA(),IF(ISNUMBER(INDEX(db_Vals,MATCH(L$91,db_Dates,0),$B111)),INDEX(db_Vals,MATCH(L$91,db_Dates,0),$B111),NA())),NA())</f>
        <v>#N/A</v>
      </c>
      <c r="M111" t="e">
        <f>IFERROR(IF(OR($C111="",M$91="",M$91&gt;c_RefDate),NA(),IF(ISNUMBER(INDEX(db_Vals,MATCH(M$91,db_Dates,0),$B111)),INDEX(db_Vals,MATCH(M$91,db_Dates,0),$B111),NA())),NA())</f>
        <v>#N/A</v>
      </c>
      <c r="N111" t="e">
        <f>IFERROR(IF(OR($C111="",N$91="",N$91&gt;c_RefDate),NA(),IF(ISNUMBER(INDEX(db_Vals,MATCH(N$91,db_Dates,0),$B111)),INDEX(db_Vals,MATCH(N$91,db_Dates,0),$B111),NA())),NA())</f>
        <v>#N/A</v>
      </c>
      <c r="O111" t="e">
        <f>IFERROR(IF(OR($C111="",O$91="",O$91&gt;c_RefDate),NA(),IF(ISNUMBER(INDEX(db_Vals,MATCH(O$91,db_Dates,0),$B111)),INDEX(db_Vals,MATCH(O$91,db_Dates,0),$B111),NA())),NA())</f>
        <v>#N/A</v>
      </c>
      <c r="P111" t="e">
        <f>IFERROR(IF(OR($C111="",P$91="",P$91&gt;c_RefDate),NA(),IF(ISNUMBER(INDEX(db_Vals,MATCH(P$91,db_Dates,0),$B111)),INDEX(db_Vals,MATCH(P$91,db_Dates,0),$B111),NA())),NA())</f>
        <v>#N/A</v>
      </c>
      <c r="Q111" t="e">
        <f>IFERROR(IF(OR($C111="",Q$91="",Q$91&gt;c_RefDate),NA(),IF(ISNUMBER(INDEX(db_Vals,MATCH(Q$91,db_Dates,0),$B111)),INDEX(db_Vals,MATCH(Q$91,db_Dates,0),$B111),NA())),NA())</f>
        <v>#N/A</v>
      </c>
      <c r="R111" t="e">
        <f>IFERROR(IF(OR($C111="",R$91="",R$91&gt;c_RefDate),NA(),IF(ISNUMBER(INDEX(db_Vals,MATCH(R$91,db_Dates,0),$B111)),INDEX(db_Vals,MATCH(R$91,db_Dates,0),$B111),NA())),NA())</f>
        <v>#N/A</v>
      </c>
      <c r="S111" t="e">
        <f>IFERROR(IF(OR($C111="",S$91="",S$91&gt;c_RefDate),NA(),IF(ISNUMBER(INDEX(db_Vals,MATCH(S$91,db_Dates,0),$B111)),INDEX(db_Vals,MATCH(S$91,db_Dates,0),$B111),NA())),NA())</f>
        <v>#N/A</v>
      </c>
      <c r="T111" t="e">
        <f>IFERROR(IF(OR($C111="",T$91="",T$91&gt;c_RefDate),NA(),IF(ISNUMBER(INDEX(db_Vals,MATCH(T$91,db_Dates,0),$B111)),INDEX(db_Vals,MATCH(T$91,db_Dates,0),$B111),NA())),NA())</f>
        <v>#N/A</v>
      </c>
      <c r="U111" t="e">
        <f>IFERROR(IF(OR($C111="",U$91="",U$91&gt;c_RefDate),NA(),IF(ISNUMBER(INDEX(db_Vals,MATCH(U$91,db_Dates,0),$B111)),INDEX(db_Vals,MATCH(U$91,db_Dates,0),$B111),NA())),NA())</f>
        <v>#N/A</v>
      </c>
      <c r="V111" t="e">
        <f>IFERROR(IF(OR($C111="",V$91="",V$91&gt;c_RefDate),NA(),IF(ISNUMBER(INDEX(db_Vals,MATCH(V$91,db_Dates,0),$B111)),INDEX(db_Vals,MATCH(V$91,db_Dates,0),$B111),NA())),NA())</f>
        <v>#N/A</v>
      </c>
      <c r="W111" t="e">
        <f>IFERROR(IF(OR($C111="",W$91="",W$91&gt;c_RefDate),NA(),IF(ISNUMBER(INDEX(db_Vals,MATCH(W$91,db_Dates,0),$B111)),INDEX(db_Vals,MATCH(W$91,db_Dates,0),$B111),NA())),NA())</f>
        <v>#N/A</v>
      </c>
      <c r="X111" t="e">
        <f>IFERROR(IF(OR($C111="",X$91="",X$91&gt;c_RefDate),NA(),IF(ISNUMBER(INDEX(db_Vals,MATCH(X$91,db_Dates,0),$B111)),INDEX(db_Vals,MATCH(X$91,db_Dates,0),$B111),NA())),NA())</f>
        <v>#N/A</v>
      </c>
      <c r="Y111" t="e">
        <f>IFERROR(IF(OR($C111="",Y$91="",Y$91&gt;c_RefDate),NA(),IF(ISNUMBER(INDEX(db_Vals,MATCH(Y$91,db_Dates,0),$B111)),INDEX(db_Vals,MATCH(Y$91,db_Dates,0),$B111),NA())),NA())</f>
        <v>#N/A</v>
      </c>
      <c r="Z111" t="e">
        <f>IFERROR(IF(OR($C111="",Z$91="",Z$91&gt;c_RefDate),NA(),IF(ISNUMBER(INDEX(db_Vals,MATCH(Z$91,db_Dates,0),$B111)),INDEX(db_Vals,MATCH(Z$91,db_Dates,0),$B111),NA())),NA())</f>
        <v>#N/A</v>
      </c>
      <c r="AA111" t="e">
        <f>IFERROR(IF(OR($C111="",AA$91="",AA$91&gt;c_RefDate),NA(),IF(ISNUMBER(INDEX(db_Vals,MATCH(AA$91,db_Dates,0),$B111)),INDEX(db_Vals,MATCH(AA$91,db_Dates,0),$B111),NA())),NA())</f>
        <v>#N/A</v>
      </c>
      <c r="AB111" t="e">
        <f>IFERROR(IF(OR($C111="",AB$91="",AB$91&gt;c_RefDate),NA(),IF(ISNUMBER(INDEX(db_Vals,MATCH(AB$91,db_Dates,0),$B111)),INDEX(db_Vals,MATCH(AB$91,db_Dates,0),$B111),NA())),NA())</f>
        <v>#N/A</v>
      </c>
      <c r="AC111" t="e">
        <f>IFERROR(IF(OR($C111="",AC$91="",AC$91&gt;c_RefDate),NA(),IF(ISNUMBER(INDEX(db_Vals,MATCH(AC$91,db_Dates,0),$B111)),INDEX(db_Vals,MATCH(AC$91,db_Dates,0),$B111),NA())),NA())</f>
        <v>#N/A</v>
      </c>
      <c r="AD111" t="e">
        <f>IFERROR(IF(OR($C111="",AD$91="",AD$91&gt;c_RefDate),NA(),IF(ISNUMBER(INDEX(db_Vals,MATCH(AD$91,db_Dates,0),$B111)),INDEX(db_Vals,MATCH(AD$91,db_Dates,0),$B111),NA())),NA())</f>
        <v>#N/A</v>
      </c>
      <c r="AE111" t="e">
        <f>IFERROR(IF(OR($C111="",AE$91="",AE$91&gt;c_RefDate),NA(),IF(ISNUMBER(INDEX(db_Vals,MATCH(AE$91,db_Dates,0),$B111)),INDEX(db_Vals,MATCH(AE$91,db_Dates,0),$B111),NA())),NA())</f>
        <v>#N/A</v>
      </c>
      <c r="AF111" t="e">
        <f>IFERROR(IF(OR($C111="",AF$91="",AF$91&gt;c_RefDate),NA(),IF(ISNUMBER(INDEX(db_Vals,MATCH(AF$91,db_Dates,0),$B111)),INDEX(db_Vals,MATCH(AF$91,db_Dates,0),$B111),NA())),NA())</f>
        <v>#N/A</v>
      </c>
      <c r="AG111" t="e">
        <f>IFERROR(IF(OR($C111="",AG$91="",AG$91&gt;c_RefDate),NA(),IF(ISNUMBER(INDEX(db_Vals,MATCH(AG$91,db_Dates,0),$B111)),INDEX(db_Vals,MATCH(AG$91,db_Dates,0),$B111),NA())),NA())</f>
        <v>#N/A</v>
      </c>
      <c r="AH111" t="e">
        <f>IFERROR(IF(OR($C111="",AH$91="",AH$91&gt;c_RefDate),NA(),IF(ISNUMBER(INDEX(db_Vals,MATCH(AH$91,db_Dates,0),$B111)),INDEX(db_Vals,MATCH(AH$91,db_Dates,0),$B111),NA())),NA())</f>
        <v>#N/A</v>
      </c>
      <c r="AI111" t="e">
        <f>IFERROR(IF(OR($C111="",AI$91="",AI$91&gt;c_RefDate),NA(),IF(ISNUMBER(INDEX(db_Vals,MATCH(AI$91,db_Dates,0),$B111)),INDEX(db_Vals,MATCH(AI$91,db_Dates,0),$B111),NA())),NA())</f>
        <v>#N/A</v>
      </c>
      <c r="AJ111" t="e">
        <f>IFERROR(IF(OR($C111="",AJ$91="",AJ$91&gt;c_RefDate),NA(),IF(ISNUMBER(INDEX(db_Vals,MATCH(AJ$91,db_Dates,0),$B111)),INDEX(db_Vals,MATCH(AJ$91,db_Dates,0),$B111),NA())),NA())</f>
        <v>#N/A</v>
      </c>
      <c r="AK111" t="e">
        <f>IFERROR(IF(OR($C111="",AK$91="",AK$91&gt;c_RefDate),NA(),IF(ISNUMBER(INDEX(db_Vals,MATCH(AK$91,db_Dates,0),$B111)),INDEX(db_Vals,MATCH(AK$91,db_Dates,0),$B111),NA())),NA())</f>
        <v>#N/A</v>
      </c>
      <c r="AL111" t="e">
        <f>IFERROR(IF(OR($C111="",AL$91="",AL$91&gt;c_RefDate),NA(),IF(ISNUMBER(INDEX(db_Vals,MATCH(AL$91,db_Dates,0),$B111)),INDEX(db_Vals,MATCH(AL$91,db_Dates,0),$B111),NA())),NA())</f>
        <v>#N/A</v>
      </c>
      <c r="AM111" t="e">
        <f>IFERROR(IF(OR($C111="",AM$91="",AM$91&gt;c_RefDate),NA(),IF(ISNUMBER(INDEX(db_Vals,MATCH(AM$91,db_Dates,0),$B111)),INDEX(db_Vals,MATCH(AM$91,db_Dates,0),$B111),NA())),NA())</f>
        <v>#N/A</v>
      </c>
      <c r="AN111" t="e">
        <f>IFERROR(IF(OR($C111="",AN$91="",AN$91&gt;c_RefDate),NA(),IF(ISNUMBER(INDEX(db_Vals,MATCH(AN$91,db_Dates,0),$B111)),INDEX(db_Vals,MATCH(AN$91,db_Dates,0),$B111),NA())),NA())</f>
        <v>#N/A</v>
      </c>
      <c r="AO111" t="e">
        <f>IFERROR(IF(OR($C111="",AO$91="",AO$91&gt;c_RefDate),NA(),IF(ISNUMBER(INDEX(db_Vals,MATCH(AO$91,db_Dates,0),$B111)),INDEX(db_Vals,MATCH(AO$91,db_Dates,0),$B111),NA())),NA())</f>
        <v>#N/A</v>
      </c>
      <c r="AP111" t="e">
        <f>IFERROR(IF(OR($C111="",AP$91="",AP$91&gt;c_RefDate),NA(),IF(ISNUMBER(INDEX(db_Vals,MATCH(AP$91,db_Dates,0),$B111)),INDEX(db_Vals,MATCH(AP$91,db_Dates,0),$B111),NA())),NA())</f>
        <v>#N/A</v>
      </c>
    </row>
    <row r="112" spans="1:42">
      <c r="A112">
        <v>21</v>
      </c>
      <c r="B112">
        <f>MATCH(LARGE($J$46:$J$85,$A112),$J$46:$J$85,0)</f>
        <v>21.0</v>
      </c>
      <c r="C112" t="str">
        <f>INDEX($B$46:$B$85,$B112)</f>
        <v/>
      </c>
      <c r="D112" t="str">
        <f>INDEX($E$46:$E$85,$B112)</f>
        <v/>
      </c>
      <c r="E112">
        <f>INDEX($I$46:$I$85,$B112)</f>
        <v>-1.0</v>
      </c>
      <c r="F112" t="str">
        <f>INDEX($H$46:$H$85,$B112)</f>
        <v/>
      </c>
      <c r="G112">
        <f>INDEX($K$46:$K$85,$B112)</f>
        <v>0.0</v>
      </c>
      <c r="H112" s="130">
        <f>INDEX($D$46:$D$85,$B112)</f>
        <v>0.0</v>
      </c>
      <c r="L112" t="e">
        <f>IFERROR(IF(OR($C112="",L$91="",L$91&gt;c_RefDate),NA(),IF(ISNUMBER(INDEX(db_Vals,MATCH(L$91,db_Dates,0),$B112)),INDEX(db_Vals,MATCH(L$91,db_Dates,0),$B112),NA())),NA())</f>
        <v>#N/A</v>
      </c>
      <c r="M112" t="e">
        <f>IFERROR(IF(OR($C112="",M$91="",M$91&gt;c_RefDate),NA(),IF(ISNUMBER(INDEX(db_Vals,MATCH(M$91,db_Dates,0),$B112)),INDEX(db_Vals,MATCH(M$91,db_Dates,0),$B112),NA())),NA())</f>
        <v>#N/A</v>
      </c>
      <c r="N112" t="e">
        <f>IFERROR(IF(OR($C112="",N$91="",N$91&gt;c_RefDate),NA(),IF(ISNUMBER(INDEX(db_Vals,MATCH(N$91,db_Dates,0),$B112)),INDEX(db_Vals,MATCH(N$91,db_Dates,0),$B112),NA())),NA())</f>
        <v>#N/A</v>
      </c>
      <c r="O112" t="e">
        <f>IFERROR(IF(OR($C112="",O$91="",O$91&gt;c_RefDate),NA(),IF(ISNUMBER(INDEX(db_Vals,MATCH(O$91,db_Dates,0),$B112)),INDEX(db_Vals,MATCH(O$91,db_Dates,0),$B112),NA())),NA())</f>
        <v>#N/A</v>
      </c>
      <c r="P112" t="e">
        <f>IFERROR(IF(OR($C112="",P$91="",P$91&gt;c_RefDate),NA(),IF(ISNUMBER(INDEX(db_Vals,MATCH(P$91,db_Dates,0),$B112)),INDEX(db_Vals,MATCH(P$91,db_Dates,0),$B112),NA())),NA())</f>
        <v>#N/A</v>
      </c>
      <c r="Q112" t="e">
        <f>IFERROR(IF(OR($C112="",Q$91="",Q$91&gt;c_RefDate),NA(),IF(ISNUMBER(INDEX(db_Vals,MATCH(Q$91,db_Dates,0),$B112)),INDEX(db_Vals,MATCH(Q$91,db_Dates,0),$B112),NA())),NA())</f>
        <v>#N/A</v>
      </c>
      <c r="R112" t="e">
        <f>IFERROR(IF(OR($C112="",R$91="",R$91&gt;c_RefDate),NA(),IF(ISNUMBER(INDEX(db_Vals,MATCH(R$91,db_Dates,0),$B112)),INDEX(db_Vals,MATCH(R$91,db_Dates,0),$B112),NA())),NA())</f>
        <v>#N/A</v>
      </c>
      <c r="S112" t="e">
        <f>IFERROR(IF(OR($C112="",S$91="",S$91&gt;c_RefDate),NA(),IF(ISNUMBER(INDEX(db_Vals,MATCH(S$91,db_Dates,0),$B112)),INDEX(db_Vals,MATCH(S$91,db_Dates,0),$B112),NA())),NA())</f>
        <v>#N/A</v>
      </c>
      <c r="T112" t="e">
        <f>IFERROR(IF(OR($C112="",T$91="",T$91&gt;c_RefDate),NA(),IF(ISNUMBER(INDEX(db_Vals,MATCH(T$91,db_Dates,0),$B112)),INDEX(db_Vals,MATCH(T$91,db_Dates,0),$B112),NA())),NA())</f>
        <v>#N/A</v>
      </c>
      <c r="U112" t="e">
        <f>IFERROR(IF(OR($C112="",U$91="",U$91&gt;c_RefDate),NA(),IF(ISNUMBER(INDEX(db_Vals,MATCH(U$91,db_Dates,0),$B112)),INDEX(db_Vals,MATCH(U$91,db_Dates,0),$B112),NA())),NA())</f>
        <v>#N/A</v>
      </c>
      <c r="V112" t="e">
        <f>IFERROR(IF(OR($C112="",V$91="",V$91&gt;c_RefDate),NA(),IF(ISNUMBER(INDEX(db_Vals,MATCH(V$91,db_Dates,0),$B112)),INDEX(db_Vals,MATCH(V$91,db_Dates,0),$B112),NA())),NA())</f>
        <v>#N/A</v>
      </c>
      <c r="W112" t="e">
        <f>IFERROR(IF(OR($C112="",W$91="",W$91&gt;c_RefDate),NA(),IF(ISNUMBER(INDEX(db_Vals,MATCH(W$91,db_Dates,0),$B112)),INDEX(db_Vals,MATCH(W$91,db_Dates,0),$B112),NA())),NA())</f>
        <v>#N/A</v>
      </c>
      <c r="X112" t="e">
        <f>IFERROR(IF(OR($C112="",X$91="",X$91&gt;c_RefDate),NA(),IF(ISNUMBER(INDEX(db_Vals,MATCH(X$91,db_Dates,0),$B112)),INDEX(db_Vals,MATCH(X$91,db_Dates,0),$B112),NA())),NA())</f>
        <v>#N/A</v>
      </c>
      <c r="Y112" t="e">
        <f>IFERROR(IF(OR($C112="",Y$91="",Y$91&gt;c_RefDate),NA(),IF(ISNUMBER(INDEX(db_Vals,MATCH(Y$91,db_Dates,0),$B112)),INDEX(db_Vals,MATCH(Y$91,db_Dates,0),$B112),NA())),NA())</f>
        <v>#N/A</v>
      </c>
      <c r="Z112" t="e">
        <f>IFERROR(IF(OR($C112="",Z$91="",Z$91&gt;c_RefDate),NA(),IF(ISNUMBER(INDEX(db_Vals,MATCH(Z$91,db_Dates,0),$B112)),INDEX(db_Vals,MATCH(Z$91,db_Dates,0),$B112),NA())),NA())</f>
        <v>#N/A</v>
      </c>
      <c r="AA112" t="e">
        <f>IFERROR(IF(OR($C112="",AA$91="",AA$91&gt;c_RefDate),NA(),IF(ISNUMBER(INDEX(db_Vals,MATCH(AA$91,db_Dates,0),$B112)),INDEX(db_Vals,MATCH(AA$91,db_Dates,0),$B112),NA())),NA())</f>
        <v>#N/A</v>
      </c>
      <c r="AB112" t="e">
        <f>IFERROR(IF(OR($C112="",AB$91="",AB$91&gt;c_RefDate),NA(),IF(ISNUMBER(INDEX(db_Vals,MATCH(AB$91,db_Dates,0),$B112)),INDEX(db_Vals,MATCH(AB$91,db_Dates,0),$B112),NA())),NA())</f>
        <v>#N/A</v>
      </c>
      <c r="AC112" t="e">
        <f>IFERROR(IF(OR($C112="",AC$91="",AC$91&gt;c_RefDate),NA(),IF(ISNUMBER(INDEX(db_Vals,MATCH(AC$91,db_Dates,0),$B112)),INDEX(db_Vals,MATCH(AC$91,db_Dates,0),$B112),NA())),NA())</f>
        <v>#N/A</v>
      </c>
      <c r="AD112" t="e">
        <f>IFERROR(IF(OR($C112="",AD$91="",AD$91&gt;c_RefDate),NA(),IF(ISNUMBER(INDEX(db_Vals,MATCH(AD$91,db_Dates,0),$B112)),INDEX(db_Vals,MATCH(AD$91,db_Dates,0),$B112),NA())),NA())</f>
        <v>#N/A</v>
      </c>
      <c r="AE112" t="e">
        <f>IFERROR(IF(OR($C112="",AE$91="",AE$91&gt;c_RefDate),NA(),IF(ISNUMBER(INDEX(db_Vals,MATCH(AE$91,db_Dates,0),$B112)),INDEX(db_Vals,MATCH(AE$91,db_Dates,0),$B112),NA())),NA())</f>
        <v>#N/A</v>
      </c>
      <c r="AF112" t="e">
        <f>IFERROR(IF(OR($C112="",AF$91="",AF$91&gt;c_RefDate),NA(),IF(ISNUMBER(INDEX(db_Vals,MATCH(AF$91,db_Dates,0),$B112)),INDEX(db_Vals,MATCH(AF$91,db_Dates,0),$B112),NA())),NA())</f>
        <v>#N/A</v>
      </c>
      <c r="AG112" t="e">
        <f>IFERROR(IF(OR($C112="",AG$91="",AG$91&gt;c_RefDate),NA(),IF(ISNUMBER(INDEX(db_Vals,MATCH(AG$91,db_Dates,0),$B112)),INDEX(db_Vals,MATCH(AG$91,db_Dates,0),$B112),NA())),NA())</f>
        <v>#N/A</v>
      </c>
      <c r="AH112" t="e">
        <f>IFERROR(IF(OR($C112="",AH$91="",AH$91&gt;c_RefDate),NA(),IF(ISNUMBER(INDEX(db_Vals,MATCH(AH$91,db_Dates,0),$B112)),INDEX(db_Vals,MATCH(AH$91,db_Dates,0),$B112),NA())),NA())</f>
        <v>#N/A</v>
      </c>
      <c r="AI112" t="e">
        <f>IFERROR(IF(OR($C112="",AI$91="",AI$91&gt;c_RefDate),NA(),IF(ISNUMBER(INDEX(db_Vals,MATCH(AI$91,db_Dates,0),$B112)),INDEX(db_Vals,MATCH(AI$91,db_Dates,0),$B112),NA())),NA())</f>
        <v>#N/A</v>
      </c>
      <c r="AJ112" t="e">
        <f>IFERROR(IF(OR($C112="",AJ$91="",AJ$91&gt;c_RefDate),NA(),IF(ISNUMBER(INDEX(db_Vals,MATCH(AJ$91,db_Dates,0),$B112)),INDEX(db_Vals,MATCH(AJ$91,db_Dates,0),$B112),NA())),NA())</f>
        <v>#N/A</v>
      </c>
      <c r="AK112" t="e">
        <f>IFERROR(IF(OR($C112="",AK$91="",AK$91&gt;c_RefDate),NA(),IF(ISNUMBER(INDEX(db_Vals,MATCH(AK$91,db_Dates,0),$B112)),INDEX(db_Vals,MATCH(AK$91,db_Dates,0),$B112),NA())),NA())</f>
        <v>#N/A</v>
      </c>
      <c r="AL112" t="e">
        <f>IFERROR(IF(OR($C112="",AL$91="",AL$91&gt;c_RefDate),NA(),IF(ISNUMBER(INDEX(db_Vals,MATCH(AL$91,db_Dates,0),$B112)),INDEX(db_Vals,MATCH(AL$91,db_Dates,0),$B112),NA())),NA())</f>
        <v>#N/A</v>
      </c>
      <c r="AM112" t="e">
        <f>IFERROR(IF(OR($C112="",AM$91="",AM$91&gt;c_RefDate),NA(),IF(ISNUMBER(INDEX(db_Vals,MATCH(AM$91,db_Dates,0),$B112)),INDEX(db_Vals,MATCH(AM$91,db_Dates,0),$B112),NA())),NA())</f>
        <v>#N/A</v>
      </c>
      <c r="AN112" t="e">
        <f>IFERROR(IF(OR($C112="",AN$91="",AN$91&gt;c_RefDate),NA(),IF(ISNUMBER(INDEX(db_Vals,MATCH(AN$91,db_Dates,0),$B112)),INDEX(db_Vals,MATCH(AN$91,db_Dates,0),$B112),NA())),NA())</f>
        <v>#N/A</v>
      </c>
      <c r="AO112" t="e">
        <f>IFERROR(IF(OR($C112="",AO$91="",AO$91&gt;c_RefDate),NA(),IF(ISNUMBER(INDEX(db_Vals,MATCH(AO$91,db_Dates,0),$B112)),INDEX(db_Vals,MATCH(AO$91,db_Dates,0),$B112),NA())),NA())</f>
        <v>#N/A</v>
      </c>
      <c r="AP112" t="e">
        <f>IFERROR(IF(OR($C112="",AP$91="",AP$91&gt;c_RefDate),NA(),IF(ISNUMBER(INDEX(db_Vals,MATCH(AP$91,db_Dates,0),$B112)),INDEX(db_Vals,MATCH(AP$91,db_Dates,0),$B112),NA())),NA())</f>
        <v>#N/A</v>
      </c>
    </row>
    <row r="113" spans="1:42">
      <c r="A113">
        <v>22</v>
      </c>
      <c r="B113">
        <f>MATCH(LARGE($J$46:$J$85,$A113),$J$46:$J$85,0)</f>
        <v>22.0</v>
      </c>
      <c r="C113" t="str">
        <f>INDEX($B$46:$B$85,$B113)</f>
        <v/>
      </c>
      <c r="D113" t="str">
        <f>INDEX($E$46:$E$85,$B113)</f>
        <v/>
      </c>
      <c r="E113">
        <f>INDEX($I$46:$I$85,$B113)</f>
        <v>-1.0</v>
      </c>
      <c r="F113" t="str">
        <f>INDEX($H$46:$H$85,$B113)</f>
        <v/>
      </c>
      <c r="G113">
        <f>INDEX($K$46:$K$85,$B113)</f>
        <v>0.0</v>
      </c>
      <c r="H113" s="130">
        <f>INDEX($D$46:$D$85,$B113)</f>
        <v>0.0</v>
      </c>
      <c r="L113" t="e">
        <f>IFERROR(IF(OR($C113="",L$91="",L$91&gt;c_RefDate),NA(),IF(ISNUMBER(INDEX(db_Vals,MATCH(L$91,db_Dates,0),$B113)),INDEX(db_Vals,MATCH(L$91,db_Dates,0),$B113),NA())),NA())</f>
        <v>#N/A</v>
      </c>
      <c r="M113" t="e">
        <f>IFERROR(IF(OR($C113="",M$91="",M$91&gt;c_RefDate),NA(),IF(ISNUMBER(INDEX(db_Vals,MATCH(M$91,db_Dates,0),$B113)),INDEX(db_Vals,MATCH(M$91,db_Dates,0),$B113),NA())),NA())</f>
        <v>#N/A</v>
      </c>
      <c r="N113" t="e">
        <f>IFERROR(IF(OR($C113="",N$91="",N$91&gt;c_RefDate),NA(),IF(ISNUMBER(INDEX(db_Vals,MATCH(N$91,db_Dates,0),$B113)),INDEX(db_Vals,MATCH(N$91,db_Dates,0),$B113),NA())),NA())</f>
        <v>#N/A</v>
      </c>
      <c r="O113" t="e">
        <f>IFERROR(IF(OR($C113="",O$91="",O$91&gt;c_RefDate),NA(),IF(ISNUMBER(INDEX(db_Vals,MATCH(O$91,db_Dates,0),$B113)),INDEX(db_Vals,MATCH(O$91,db_Dates,0),$B113),NA())),NA())</f>
        <v>#N/A</v>
      </c>
      <c r="P113" t="e">
        <f>IFERROR(IF(OR($C113="",P$91="",P$91&gt;c_RefDate),NA(),IF(ISNUMBER(INDEX(db_Vals,MATCH(P$91,db_Dates,0),$B113)),INDEX(db_Vals,MATCH(P$91,db_Dates,0),$B113),NA())),NA())</f>
        <v>#N/A</v>
      </c>
      <c r="Q113" t="e">
        <f>IFERROR(IF(OR($C113="",Q$91="",Q$91&gt;c_RefDate),NA(),IF(ISNUMBER(INDEX(db_Vals,MATCH(Q$91,db_Dates,0),$B113)),INDEX(db_Vals,MATCH(Q$91,db_Dates,0),$B113),NA())),NA())</f>
        <v>#N/A</v>
      </c>
      <c r="R113" t="e">
        <f>IFERROR(IF(OR($C113="",R$91="",R$91&gt;c_RefDate),NA(),IF(ISNUMBER(INDEX(db_Vals,MATCH(R$91,db_Dates,0),$B113)),INDEX(db_Vals,MATCH(R$91,db_Dates,0),$B113),NA())),NA())</f>
        <v>#N/A</v>
      </c>
      <c r="S113" t="e">
        <f>IFERROR(IF(OR($C113="",S$91="",S$91&gt;c_RefDate),NA(),IF(ISNUMBER(INDEX(db_Vals,MATCH(S$91,db_Dates,0),$B113)),INDEX(db_Vals,MATCH(S$91,db_Dates,0),$B113),NA())),NA())</f>
        <v>#N/A</v>
      </c>
      <c r="T113" t="e">
        <f>IFERROR(IF(OR($C113="",T$91="",T$91&gt;c_RefDate),NA(),IF(ISNUMBER(INDEX(db_Vals,MATCH(T$91,db_Dates,0),$B113)),INDEX(db_Vals,MATCH(T$91,db_Dates,0),$B113),NA())),NA())</f>
        <v>#N/A</v>
      </c>
      <c r="U113" t="e">
        <f>IFERROR(IF(OR($C113="",U$91="",U$91&gt;c_RefDate),NA(),IF(ISNUMBER(INDEX(db_Vals,MATCH(U$91,db_Dates,0),$B113)),INDEX(db_Vals,MATCH(U$91,db_Dates,0),$B113),NA())),NA())</f>
        <v>#N/A</v>
      </c>
      <c r="V113" t="e">
        <f>IFERROR(IF(OR($C113="",V$91="",V$91&gt;c_RefDate),NA(),IF(ISNUMBER(INDEX(db_Vals,MATCH(V$91,db_Dates,0),$B113)),INDEX(db_Vals,MATCH(V$91,db_Dates,0),$B113),NA())),NA())</f>
        <v>#N/A</v>
      </c>
      <c r="W113" t="e">
        <f>IFERROR(IF(OR($C113="",W$91="",W$91&gt;c_RefDate),NA(),IF(ISNUMBER(INDEX(db_Vals,MATCH(W$91,db_Dates,0),$B113)),INDEX(db_Vals,MATCH(W$91,db_Dates,0),$B113),NA())),NA())</f>
        <v>#N/A</v>
      </c>
      <c r="X113" t="e">
        <f>IFERROR(IF(OR($C113="",X$91="",X$91&gt;c_RefDate),NA(),IF(ISNUMBER(INDEX(db_Vals,MATCH(X$91,db_Dates,0),$B113)),INDEX(db_Vals,MATCH(X$91,db_Dates,0),$B113),NA())),NA())</f>
        <v>#N/A</v>
      </c>
      <c r="Y113" t="e">
        <f>IFERROR(IF(OR($C113="",Y$91="",Y$91&gt;c_RefDate),NA(),IF(ISNUMBER(INDEX(db_Vals,MATCH(Y$91,db_Dates,0),$B113)),INDEX(db_Vals,MATCH(Y$91,db_Dates,0),$B113),NA())),NA())</f>
        <v>#N/A</v>
      </c>
      <c r="Z113" t="e">
        <f>IFERROR(IF(OR($C113="",Z$91="",Z$91&gt;c_RefDate),NA(),IF(ISNUMBER(INDEX(db_Vals,MATCH(Z$91,db_Dates,0),$B113)),INDEX(db_Vals,MATCH(Z$91,db_Dates,0),$B113),NA())),NA())</f>
        <v>#N/A</v>
      </c>
      <c r="AA113" t="e">
        <f>IFERROR(IF(OR($C113="",AA$91="",AA$91&gt;c_RefDate),NA(),IF(ISNUMBER(INDEX(db_Vals,MATCH(AA$91,db_Dates,0),$B113)),INDEX(db_Vals,MATCH(AA$91,db_Dates,0),$B113),NA())),NA())</f>
        <v>#N/A</v>
      </c>
      <c r="AB113" t="e">
        <f>IFERROR(IF(OR($C113="",AB$91="",AB$91&gt;c_RefDate),NA(),IF(ISNUMBER(INDEX(db_Vals,MATCH(AB$91,db_Dates,0),$B113)),INDEX(db_Vals,MATCH(AB$91,db_Dates,0),$B113),NA())),NA())</f>
        <v>#N/A</v>
      </c>
      <c r="AC113" t="e">
        <f>IFERROR(IF(OR($C113="",AC$91="",AC$91&gt;c_RefDate),NA(),IF(ISNUMBER(INDEX(db_Vals,MATCH(AC$91,db_Dates,0),$B113)),INDEX(db_Vals,MATCH(AC$91,db_Dates,0),$B113),NA())),NA())</f>
        <v>#N/A</v>
      </c>
      <c r="AD113" t="e">
        <f>IFERROR(IF(OR($C113="",AD$91="",AD$91&gt;c_RefDate),NA(),IF(ISNUMBER(INDEX(db_Vals,MATCH(AD$91,db_Dates,0),$B113)),INDEX(db_Vals,MATCH(AD$91,db_Dates,0),$B113),NA())),NA())</f>
        <v>#N/A</v>
      </c>
      <c r="AE113" t="e">
        <f>IFERROR(IF(OR($C113="",AE$91="",AE$91&gt;c_RefDate),NA(),IF(ISNUMBER(INDEX(db_Vals,MATCH(AE$91,db_Dates,0),$B113)),INDEX(db_Vals,MATCH(AE$91,db_Dates,0),$B113),NA())),NA())</f>
        <v>#N/A</v>
      </c>
      <c r="AF113" t="e">
        <f>IFERROR(IF(OR($C113="",AF$91="",AF$91&gt;c_RefDate),NA(),IF(ISNUMBER(INDEX(db_Vals,MATCH(AF$91,db_Dates,0),$B113)),INDEX(db_Vals,MATCH(AF$91,db_Dates,0),$B113),NA())),NA())</f>
        <v>#N/A</v>
      </c>
      <c r="AG113" t="e">
        <f>IFERROR(IF(OR($C113="",AG$91="",AG$91&gt;c_RefDate),NA(),IF(ISNUMBER(INDEX(db_Vals,MATCH(AG$91,db_Dates,0),$B113)),INDEX(db_Vals,MATCH(AG$91,db_Dates,0),$B113),NA())),NA())</f>
        <v>#N/A</v>
      </c>
      <c r="AH113" t="e">
        <f>IFERROR(IF(OR($C113="",AH$91="",AH$91&gt;c_RefDate),NA(),IF(ISNUMBER(INDEX(db_Vals,MATCH(AH$91,db_Dates,0),$B113)),INDEX(db_Vals,MATCH(AH$91,db_Dates,0),$B113),NA())),NA())</f>
        <v>#N/A</v>
      </c>
      <c r="AI113" t="e">
        <f>IFERROR(IF(OR($C113="",AI$91="",AI$91&gt;c_RefDate),NA(),IF(ISNUMBER(INDEX(db_Vals,MATCH(AI$91,db_Dates,0),$B113)),INDEX(db_Vals,MATCH(AI$91,db_Dates,0),$B113),NA())),NA())</f>
        <v>#N/A</v>
      </c>
      <c r="AJ113" t="e">
        <f>IFERROR(IF(OR($C113="",AJ$91="",AJ$91&gt;c_RefDate),NA(),IF(ISNUMBER(INDEX(db_Vals,MATCH(AJ$91,db_Dates,0),$B113)),INDEX(db_Vals,MATCH(AJ$91,db_Dates,0),$B113),NA())),NA())</f>
        <v>#N/A</v>
      </c>
      <c r="AK113" t="e">
        <f>IFERROR(IF(OR($C113="",AK$91="",AK$91&gt;c_RefDate),NA(),IF(ISNUMBER(INDEX(db_Vals,MATCH(AK$91,db_Dates,0),$B113)),INDEX(db_Vals,MATCH(AK$91,db_Dates,0),$B113),NA())),NA())</f>
        <v>#N/A</v>
      </c>
      <c r="AL113" t="e">
        <f>IFERROR(IF(OR($C113="",AL$91="",AL$91&gt;c_RefDate),NA(),IF(ISNUMBER(INDEX(db_Vals,MATCH(AL$91,db_Dates,0),$B113)),INDEX(db_Vals,MATCH(AL$91,db_Dates,0),$B113),NA())),NA())</f>
        <v>#N/A</v>
      </c>
      <c r="AM113" t="e">
        <f>IFERROR(IF(OR($C113="",AM$91="",AM$91&gt;c_RefDate),NA(),IF(ISNUMBER(INDEX(db_Vals,MATCH(AM$91,db_Dates,0),$B113)),INDEX(db_Vals,MATCH(AM$91,db_Dates,0),$B113),NA())),NA())</f>
        <v>#N/A</v>
      </c>
      <c r="AN113" t="e">
        <f>IFERROR(IF(OR($C113="",AN$91="",AN$91&gt;c_RefDate),NA(),IF(ISNUMBER(INDEX(db_Vals,MATCH(AN$91,db_Dates,0),$B113)),INDEX(db_Vals,MATCH(AN$91,db_Dates,0),$B113),NA())),NA())</f>
        <v>#N/A</v>
      </c>
      <c r="AO113" t="e">
        <f>IFERROR(IF(OR($C113="",AO$91="",AO$91&gt;c_RefDate),NA(),IF(ISNUMBER(INDEX(db_Vals,MATCH(AO$91,db_Dates,0),$B113)),INDEX(db_Vals,MATCH(AO$91,db_Dates,0),$B113),NA())),NA())</f>
        <v>#N/A</v>
      </c>
      <c r="AP113" t="e">
        <f>IFERROR(IF(OR($C113="",AP$91="",AP$91&gt;c_RefDate),NA(),IF(ISNUMBER(INDEX(db_Vals,MATCH(AP$91,db_Dates,0),$B113)),INDEX(db_Vals,MATCH(AP$91,db_Dates,0),$B113),NA())),NA())</f>
        <v>#N/A</v>
      </c>
    </row>
    <row r="114" spans="1:42">
      <c r="A114">
        <v>23</v>
      </c>
      <c r="B114">
        <f>MATCH(LARGE($J$46:$J$85,$A114),$J$46:$J$85,0)</f>
        <v>23.0</v>
      </c>
      <c r="C114" t="str">
        <f>INDEX($B$46:$B$85,$B114)</f>
        <v/>
      </c>
      <c r="D114" t="str">
        <f>INDEX($E$46:$E$85,$B114)</f>
        <v/>
      </c>
      <c r="E114">
        <f>INDEX($I$46:$I$85,$B114)</f>
        <v>-1.0</v>
      </c>
      <c r="F114" t="str">
        <f>INDEX($H$46:$H$85,$B114)</f>
        <v/>
      </c>
      <c r="G114">
        <f>INDEX($K$46:$K$85,$B114)</f>
        <v>0.0</v>
      </c>
      <c r="H114" s="130">
        <f>INDEX($D$46:$D$85,$B114)</f>
        <v>0.0</v>
      </c>
      <c r="L114" t="e">
        <f>IFERROR(IF(OR($C114="",L$91="",L$91&gt;c_RefDate),NA(),IF(ISNUMBER(INDEX(db_Vals,MATCH(L$91,db_Dates,0),$B114)),INDEX(db_Vals,MATCH(L$91,db_Dates,0),$B114),NA())),NA())</f>
        <v>#N/A</v>
      </c>
      <c r="M114" t="e">
        <f>IFERROR(IF(OR($C114="",M$91="",M$91&gt;c_RefDate),NA(),IF(ISNUMBER(INDEX(db_Vals,MATCH(M$91,db_Dates,0),$B114)),INDEX(db_Vals,MATCH(M$91,db_Dates,0),$B114),NA())),NA())</f>
        <v>#N/A</v>
      </c>
      <c r="N114" t="e">
        <f>IFERROR(IF(OR($C114="",N$91="",N$91&gt;c_RefDate),NA(),IF(ISNUMBER(INDEX(db_Vals,MATCH(N$91,db_Dates,0),$B114)),INDEX(db_Vals,MATCH(N$91,db_Dates,0),$B114),NA())),NA())</f>
        <v>#N/A</v>
      </c>
      <c r="O114" t="e">
        <f>IFERROR(IF(OR($C114="",O$91="",O$91&gt;c_RefDate),NA(),IF(ISNUMBER(INDEX(db_Vals,MATCH(O$91,db_Dates,0),$B114)),INDEX(db_Vals,MATCH(O$91,db_Dates,0),$B114),NA())),NA())</f>
        <v>#N/A</v>
      </c>
      <c r="P114" t="e">
        <f>IFERROR(IF(OR($C114="",P$91="",P$91&gt;c_RefDate),NA(),IF(ISNUMBER(INDEX(db_Vals,MATCH(P$91,db_Dates,0),$B114)),INDEX(db_Vals,MATCH(P$91,db_Dates,0),$B114),NA())),NA())</f>
        <v>#N/A</v>
      </c>
      <c r="Q114" t="e">
        <f>IFERROR(IF(OR($C114="",Q$91="",Q$91&gt;c_RefDate),NA(),IF(ISNUMBER(INDEX(db_Vals,MATCH(Q$91,db_Dates,0),$B114)),INDEX(db_Vals,MATCH(Q$91,db_Dates,0),$B114),NA())),NA())</f>
        <v>#N/A</v>
      </c>
      <c r="R114" t="e">
        <f>IFERROR(IF(OR($C114="",R$91="",R$91&gt;c_RefDate),NA(),IF(ISNUMBER(INDEX(db_Vals,MATCH(R$91,db_Dates,0),$B114)),INDEX(db_Vals,MATCH(R$91,db_Dates,0),$B114),NA())),NA())</f>
        <v>#N/A</v>
      </c>
      <c r="S114" t="e">
        <f>IFERROR(IF(OR($C114="",S$91="",S$91&gt;c_RefDate),NA(),IF(ISNUMBER(INDEX(db_Vals,MATCH(S$91,db_Dates,0),$B114)),INDEX(db_Vals,MATCH(S$91,db_Dates,0),$B114),NA())),NA())</f>
        <v>#N/A</v>
      </c>
      <c r="T114" t="e">
        <f>IFERROR(IF(OR($C114="",T$91="",T$91&gt;c_RefDate),NA(),IF(ISNUMBER(INDEX(db_Vals,MATCH(T$91,db_Dates,0),$B114)),INDEX(db_Vals,MATCH(T$91,db_Dates,0),$B114),NA())),NA())</f>
        <v>#N/A</v>
      </c>
      <c r="U114" t="e">
        <f>IFERROR(IF(OR($C114="",U$91="",U$91&gt;c_RefDate),NA(),IF(ISNUMBER(INDEX(db_Vals,MATCH(U$91,db_Dates,0),$B114)),INDEX(db_Vals,MATCH(U$91,db_Dates,0),$B114),NA())),NA())</f>
        <v>#N/A</v>
      </c>
      <c r="V114" t="e">
        <f>IFERROR(IF(OR($C114="",V$91="",V$91&gt;c_RefDate),NA(),IF(ISNUMBER(INDEX(db_Vals,MATCH(V$91,db_Dates,0),$B114)),INDEX(db_Vals,MATCH(V$91,db_Dates,0),$B114),NA())),NA())</f>
        <v>#N/A</v>
      </c>
      <c r="W114" t="e">
        <f>IFERROR(IF(OR($C114="",W$91="",W$91&gt;c_RefDate),NA(),IF(ISNUMBER(INDEX(db_Vals,MATCH(W$91,db_Dates,0),$B114)),INDEX(db_Vals,MATCH(W$91,db_Dates,0),$B114),NA())),NA())</f>
        <v>#N/A</v>
      </c>
      <c r="X114" t="e">
        <f>IFERROR(IF(OR($C114="",X$91="",X$91&gt;c_RefDate),NA(),IF(ISNUMBER(INDEX(db_Vals,MATCH(X$91,db_Dates,0),$B114)),INDEX(db_Vals,MATCH(X$91,db_Dates,0),$B114),NA())),NA())</f>
        <v>#N/A</v>
      </c>
      <c r="Y114" t="e">
        <f>IFERROR(IF(OR($C114="",Y$91="",Y$91&gt;c_RefDate),NA(),IF(ISNUMBER(INDEX(db_Vals,MATCH(Y$91,db_Dates,0),$B114)),INDEX(db_Vals,MATCH(Y$91,db_Dates,0),$B114),NA())),NA())</f>
        <v>#N/A</v>
      </c>
      <c r="Z114" t="e">
        <f>IFERROR(IF(OR($C114="",Z$91="",Z$91&gt;c_RefDate),NA(),IF(ISNUMBER(INDEX(db_Vals,MATCH(Z$91,db_Dates,0),$B114)),INDEX(db_Vals,MATCH(Z$91,db_Dates,0),$B114),NA())),NA())</f>
        <v>#N/A</v>
      </c>
      <c r="AA114" t="e">
        <f>IFERROR(IF(OR($C114="",AA$91="",AA$91&gt;c_RefDate),NA(),IF(ISNUMBER(INDEX(db_Vals,MATCH(AA$91,db_Dates,0),$B114)),INDEX(db_Vals,MATCH(AA$91,db_Dates,0),$B114),NA())),NA())</f>
        <v>#N/A</v>
      </c>
      <c r="AB114" t="e">
        <f>IFERROR(IF(OR($C114="",AB$91="",AB$91&gt;c_RefDate),NA(),IF(ISNUMBER(INDEX(db_Vals,MATCH(AB$91,db_Dates,0),$B114)),INDEX(db_Vals,MATCH(AB$91,db_Dates,0),$B114),NA())),NA())</f>
        <v>#N/A</v>
      </c>
      <c r="AC114" t="e">
        <f>IFERROR(IF(OR($C114="",AC$91="",AC$91&gt;c_RefDate),NA(),IF(ISNUMBER(INDEX(db_Vals,MATCH(AC$91,db_Dates,0),$B114)),INDEX(db_Vals,MATCH(AC$91,db_Dates,0),$B114),NA())),NA())</f>
        <v>#N/A</v>
      </c>
      <c r="AD114" t="e">
        <f>IFERROR(IF(OR($C114="",AD$91="",AD$91&gt;c_RefDate),NA(),IF(ISNUMBER(INDEX(db_Vals,MATCH(AD$91,db_Dates,0),$B114)),INDEX(db_Vals,MATCH(AD$91,db_Dates,0),$B114),NA())),NA())</f>
        <v>#N/A</v>
      </c>
      <c r="AE114" t="e">
        <f>IFERROR(IF(OR($C114="",AE$91="",AE$91&gt;c_RefDate),NA(),IF(ISNUMBER(INDEX(db_Vals,MATCH(AE$91,db_Dates,0),$B114)),INDEX(db_Vals,MATCH(AE$91,db_Dates,0),$B114),NA())),NA())</f>
        <v>#N/A</v>
      </c>
      <c r="AF114" t="e">
        <f>IFERROR(IF(OR($C114="",AF$91="",AF$91&gt;c_RefDate),NA(),IF(ISNUMBER(INDEX(db_Vals,MATCH(AF$91,db_Dates,0),$B114)),INDEX(db_Vals,MATCH(AF$91,db_Dates,0),$B114),NA())),NA())</f>
        <v>#N/A</v>
      </c>
      <c r="AG114" t="e">
        <f>IFERROR(IF(OR($C114="",AG$91="",AG$91&gt;c_RefDate),NA(),IF(ISNUMBER(INDEX(db_Vals,MATCH(AG$91,db_Dates,0),$B114)),INDEX(db_Vals,MATCH(AG$91,db_Dates,0),$B114),NA())),NA())</f>
        <v>#N/A</v>
      </c>
      <c r="AH114" t="e">
        <f>IFERROR(IF(OR($C114="",AH$91="",AH$91&gt;c_RefDate),NA(),IF(ISNUMBER(INDEX(db_Vals,MATCH(AH$91,db_Dates,0),$B114)),INDEX(db_Vals,MATCH(AH$91,db_Dates,0),$B114),NA())),NA())</f>
        <v>#N/A</v>
      </c>
      <c r="AI114" t="e">
        <f>IFERROR(IF(OR($C114="",AI$91="",AI$91&gt;c_RefDate),NA(),IF(ISNUMBER(INDEX(db_Vals,MATCH(AI$91,db_Dates,0),$B114)),INDEX(db_Vals,MATCH(AI$91,db_Dates,0),$B114),NA())),NA())</f>
        <v>#N/A</v>
      </c>
      <c r="AJ114" t="e">
        <f>IFERROR(IF(OR($C114="",AJ$91="",AJ$91&gt;c_RefDate),NA(),IF(ISNUMBER(INDEX(db_Vals,MATCH(AJ$91,db_Dates,0),$B114)),INDEX(db_Vals,MATCH(AJ$91,db_Dates,0),$B114),NA())),NA())</f>
        <v>#N/A</v>
      </c>
      <c r="AK114" t="e">
        <f>IFERROR(IF(OR($C114="",AK$91="",AK$91&gt;c_RefDate),NA(),IF(ISNUMBER(INDEX(db_Vals,MATCH(AK$91,db_Dates,0),$B114)),INDEX(db_Vals,MATCH(AK$91,db_Dates,0),$B114),NA())),NA())</f>
        <v>#N/A</v>
      </c>
      <c r="AL114" t="e">
        <f>IFERROR(IF(OR($C114="",AL$91="",AL$91&gt;c_RefDate),NA(),IF(ISNUMBER(INDEX(db_Vals,MATCH(AL$91,db_Dates,0),$B114)),INDEX(db_Vals,MATCH(AL$91,db_Dates,0),$B114),NA())),NA())</f>
        <v>#N/A</v>
      </c>
      <c r="AM114" t="e">
        <f>IFERROR(IF(OR($C114="",AM$91="",AM$91&gt;c_RefDate),NA(),IF(ISNUMBER(INDEX(db_Vals,MATCH(AM$91,db_Dates,0),$B114)),INDEX(db_Vals,MATCH(AM$91,db_Dates,0),$B114),NA())),NA())</f>
        <v>#N/A</v>
      </c>
      <c r="AN114" t="e">
        <f>IFERROR(IF(OR($C114="",AN$91="",AN$91&gt;c_RefDate),NA(),IF(ISNUMBER(INDEX(db_Vals,MATCH(AN$91,db_Dates,0),$B114)),INDEX(db_Vals,MATCH(AN$91,db_Dates,0),$B114),NA())),NA())</f>
        <v>#N/A</v>
      </c>
      <c r="AO114" t="e">
        <f>IFERROR(IF(OR($C114="",AO$91="",AO$91&gt;c_RefDate),NA(),IF(ISNUMBER(INDEX(db_Vals,MATCH(AO$91,db_Dates,0),$B114)),INDEX(db_Vals,MATCH(AO$91,db_Dates,0),$B114),NA())),NA())</f>
        <v>#N/A</v>
      </c>
      <c r="AP114" t="e">
        <f>IFERROR(IF(OR($C114="",AP$91="",AP$91&gt;c_RefDate),NA(),IF(ISNUMBER(INDEX(db_Vals,MATCH(AP$91,db_Dates,0),$B114)),INDEX(db_Vals,MATCH(AP$91,db_Dates,0),$B114),NA())),NA())</f>
        <v>#N/A</v>
      </c>
    </row>
    <row r="115" spans="1:42">
      <c r="A115">
        <v>24</v>
      </c>
      <c r="B115">
        <f>MATCH(LARGE($J$46:$J$85,$A115),$J$46:$J$85,0)</f>
        <v>24.0</v>
      </c>
      <c r="C115" t="str">
        <f>INDEX($B$46:$B$85,$B115)</f>
        <v/>
      </c>
      <c r="D115" t="str">
        <f>INDEX($E$46:$E$85,$B115)</f>
        <v/>
      </c>
      <c r="E115">
        <f>INDEX($I$46:$I$85,$B115)</f>
        <v>-1.0</v>
      </c>
      <c r="F115" t="str">
        <f>INDEX($H$46:$H$85,$B115)</f>
        <v/>
      </c>
      <c r="G115">
        <f>INDEX($K$46:$K$85,$B115)</f>
        <v>0.0</v>
      </c>
      <c r="H115" s="130">
        <f>INDEX($D$46:$D$85,$B115)</f>
        <v>0.0</v>
      </c>
      <c r="L115" t="e">
        <f>IFERROR(IF(OR($C115="",L$91="",L$91&gt;c_RefDate),NA(),IF(ISNUMBER(INDEX(db_Vals,MATCH(L$91,db_Dates,0),$B115)),INDEX(db_Vals,MATCH(L$91,db_Dates,0),$B115),NA())),NA())</f>
        <v>#N/A</v>
      </c>
      <c r="M115" t="e">
        <f>IFERROR(IF(OR($C115="",M$91="",M$91&gt;c_RefDate),NA(),IF(ISNUMBER(INDEX(db_Vals,MATCH(M$91,db_Dates,0),$B115)),INDEX(db_Vals,MATCH(M$91,db_Dates,0),$B115),NA())),NA())</f>
        <v>#N/A</v>
      </c>
      <c r="N115" t="e">
        <f>IFERROR(IF(OR($C115="",N$91="",N$91&gt;c_RefDate),NA(),IF(ISNUMBER(INDEX(db_Vals,MATCH(N$91,db_Dates,0),$B115)),INDEX(db_Vals,MATCH(N$91,db_Dates,0),$B115),NA())),NA())</f>
        <v>#N/A</v>
      </c>
      <c r="O115" t="e">
        <f>IFERROR(IF(OR($C115="",O$91="",O$91&gt;c_RefDate),NA(),IF(ISNUMBER(INDEX(db_Vals,MATCH(O$91,db_Dates,0),$B115)),INDEX(db_Vals,MATCH(O$91,db_Dates,0),$B115),NA())),NA())</f>
        <v>#N/A</v>
      </c>
      <c r="P115" t="e">
        <f>IFERROR(IF(OR($C115="",P$91="",P$91&gt;c_RefDate),NA(),IF(ISNUMBER(INDEX(db_Vals,MATCH(P$91,db_Dates,0),$B115)),INDEX(db_Vals,MATCH(P$91,db_Dates,0),$B115),NA())),NA())</f>
        <v>#N/A</v>
      </c>
      <c r="Q115" t="e">
        <f>IFERROR(IF(OR($C115="",Q$91="",Q$91&gt;c_RefDate),NA(),IF(ISNUMBER(INDEX(db_Vals,MATCH(Q$91,db_Dates,0),$B115)),INDEX(db_Vals,MATCH(Q$91,db_Dates,0),$B115),NA())),NA())</f>
        <v>#N/A</v>
      </c>
      <c r="R115" t="e">
        <f>IFERROR(IF(OR($C115="",R$91="",R$91&gt;c_RefDate),NA(),IF(ISNUMBER(INDEX(db_Vals,MATCH(R$91,db_Dates,0),$B115)),INDEX(db_Vals,MATCH(R$91,db_Dates,0),$B115),NA())),NA())</f>
        <v>#N/A</v>
      </c>
      <c r="S115" t="e">
        <f>IFERROR(IF(OR($C115="",S$91="",S$91&gt;c_RefDate),NA(),IF(ISNUMBER(INDEX(db_Vals,MATCH(S$91,db_Dates,0),$B115)),INDEX(db_Vals,MATCH(S$91,db_Dates,0),$B115),NA())),NA())</f>
        <v>#N/A</v>
      </c>
      <c r="T115" t="e">
        <f>IFERROR(IF(OR($C115="",T$91="",T$91&gt;c_RefDate),NA(),IF(ISNUMBER(INDEX(db_Vals,MATCH(T$91,db_Dates,0),$B115)),INDEX(db_Vals,MATCH(T$91,db_Dates,0),$B115),NA())),NA())</f>
        <v>#N/A</v>
      </c>
      <c r="U115" t="e">
        <f>IFERROR(IF(OR($C115="",U$91="",U$91&gt;c_RefDate),NA(),IF(ISNUMBER(INDEX(db_Vals,MATCH(U$91,db_Dates,0),$B115)),INDEX(db_Vals,MATCH(U$91,db_Dates,0),$B115),NA())),NA())</f>
        <v>#N/A</v>
      </c>
      <c r="V115" t="e">
        <f>IFERROR(IF(OR($C115="",V$91="",V$91&gt;c_RefDate),NA(),IF(ISNUMBER(INDEX(db_Vals,MATCH(V$91,db_Dates,0),$B115)),INDEX(db_Vals,MATCH(V$91,db_Dates,0),$B115),NA())),NA())</f>
        <v>#N/A</v>
      </c>
      <c r="W115" t="e">
        <f>IFERROR(IF(OR($C115="",W$91="",W$91&gt;c_RefDate),NA(),IF(ISNUMBER(INDEX(db_Vals,MATCH(W$91,db_Dates,0),$B115)),INDEX(db_Vals,MATCH(W$91,db_Dates,0),$B115),NA())),NA())</f>
        <v>#N/A</v>
      </c>
      <c r="X115" t="e">
        <f>IFERROR(IF(OR($C115="",X$91="",X$91&gt;c_RefDate),NA(),IF(ISNUMBER(INDEX(db_Vals,MATCH(X$91,db_Dates,0),$B115)),INDEX(db_Vals,MATCH(X$91,db_Dates,0),$B115),NA())),NA())</f>
        <v>#N/A</v>
      </c>
      <c r="Y115" t="e">
        <f>IFERROR(IF(OR($C115="",Y$91="",Y$91&gt;c_RefDate),NA(),IF(ISNUMBER(INDEX(db_Vals,MATCH(Y$91,db_Dates,0),$B115)),INDEX(db_Vals,MATCH(Y$91,db_Dates,0),$B115),NA())),NA())</f>
        <v>#N/A</v>
      </c>
      <c r="Z115" t="e">
        <f>IFERROR(IF(OR($C115="",Z$91="",Z$91&gt;c_RefDate),NA(),IF(ISNUMBER(INDEX(db_Vals,MATCH(Z$91,db_Dates,0),$B115)),INDEX(db_Vals,MATCH(Z$91,db_Dates,0),$B115),NA())),NA())</f>
        <v>#N/A</v>
      </c>
      <c r="AA115" t="e">
        <f>IFERROR(IF(OR($C115="",AA$91="",AA$91&gt;c_RefDate),NA(),IF(ISNUMBER(INDEX(db_Vals,MATCH(AA$91,db_Dates,0),$B115)),INDEX(db_Vals,MATCH(AA$91,db_Dates,0),$B115),NA())),NA())</f>
        <v>#N/A</v>
      </c>
      <c r="AB115" t="e">
        <f>IFERROR(IF(OR($C115="",AB$91="",AB$91&gt;c_RefDate),NA(),IF(ISNUMBER(INDEX(db_Vals,MATCH(AB$91,db_Dates,0),$B115)),INDEX(db_Vals,MATCH(AB$91,db_Dates,0),$B115),NA())),NA())</f>
        <v>#N/A</v>
      </c>
      <c r="AC115" t="e">
        <f>IFERROR(IF(OR($C115="",AC$91="",AC$91&gt;c_RefDate),NA(),IF(ISNUMBER(INDEX(db_Vals,MATCH(AC$91,db_Dates,0),$B115)),INDEX(db_Vals,MATCH(AC$91,db_Dates,0),$B115),NA())),NA())</f>
        <v>#N/A</v>
      </c>
      <c r="AD115" t="e">
        <f>IFERROR(IF(OR($C115="",AD$91="",AD$91&gt;c_RefDate),NA(),IF(ISNUMBER(INDEX(db_Vals,MATCH(AD$91,db_Dates,0),$B115)),INDEX(db_Vals,MATCH(AD$91,db_Dates,0),$B115),NA())),NA())</f>
        <v>#N/A</v>
      </c>
      <c r="AE115" t="e">
        <f>IFERROR(IF(OR($C115="",AE$91="",AE$91&gt;c_RefDate),NA(),IF(ISNUMBER(INDEX(db_Vals,MATCH(AE$91,db_Dates,0),$B115)),INDEX(db_Vals,MATCH(AE$91,db_Dates,0),$B115),NA())),NA())</f>
        <v>#N/A</v>
      </c>
      <c r="AF115" t="e">
        <f>IFERROR(IF(OR($C115="",AF$91="",AF$91&gt;c_RefDate),NA(),IF(ISNUMBER(INDEX(db_Vals,MATCH(AF$91,db_Dates,0),$B115)),INDEX(db_Vals,MATCH(AF$91,db_Dates,0),$B115),NA())),NA())</f>
        <v>#N/A</v>
      </c>
      <c r="AG115" t="e">
        <f>IFERROR(IF(OR($C115="",AG$91="",AG$91&gt;c_RefDate),NA(),IF(ISNUMBER(INDEX(db_Vals,MATCH(AG$91,db_Dates,0),$B115)),INDEX(db_Vals,MATCH(AG$91,db_Dates,0),$B115),NA())),NA())</f>
        <v>#N/A</v>
      </c>
      <c r="AH115" t="e">
        <f>IFERROR(IF(OR($C115="",AH$91="",AH$91&gt;c_RefDate),NA(),IF(ISNUMBER(INDEX(db_Vals,MATCH(AH$91,db_Dates,0),$B115)),INDEX(db_Vals,MATCH(AH$91,db_Dates,0),$B115),NA())),NA())</f>
        <v>#N/A</v>
      </c>
      <c r="AI115" t="e">
        <f>IFERROR(IF(OR($C115="",AI$91="",AI$91&gt;c_RefDate),NA(),IF(ISNUMBER(INDEX(db_Vals,MATCH(AI$91,db_Dates,0),$B115)),INDEX(db_Vals,MATCH(AI$91,db_Dates,0),$B115),NA())),NA())</f>
        <v>#N/A</v>
      </c>
      <c r="AJ115" t="e">
        <f>IFERROR(IF(OR($C115="",AJ$91="",AJ$91&gt;c_RefDate),NA(),IF(ISNUMBER(INDEX(db_Vals,MATCH(AJ$91,db_Dates,0),$B115)),INDEX(db_Vals,MATCH(AJ$91,db_Dates,0),$B115),NA())),NA())</f>
        <v>#N/A</v>
      </c>
      <c r="AK115" t="e">
        <f>IFERROR(IF(OR($C115="",AK$91="",AK$91&gt;c_RefDate),NA(),IF(ISNUMBER(INDEX(db_Vals,MATCH(AK$91,db_Dates,0),$B115)),INDEX(db_Vals,MATCH(AK$91,db_Dates,0),$B115),NA())),NA())</f>
        <v>#N/A</v>
      </c>
      <c r="AL115" t="e">
        <f>IFERROR(IF(OR($C115="",AL$91="",AL$91&gt;c_RefDate),NA(),IF(ISNUMBER(INDEX(db_Vals,MATCH(AL$91,db_Dates,0),$B115)),INDEX(db_Vals,MATCH(AL$91,db_Dates,0),$B115),NA())),NA())</f>
        <v>#N/A</v>
      </c>
      <c r="AM115" t="e">
        <f>IFERROR(IF(OR($C115="",AM$91="",AM$91&gt;c_RefDate),NA(),IF(ISNUMBER(INDEX(db_Vals,MATCH(AM$91,db_Dates,0),$B115)),INDEX(db_Vals,MATCH(AM$91,db_Dates,0),$B115),NA())),NA())</f>
        <v>#N/A</v>
      </c>
      <c r="AN115" t="e">
        <f>IFERROR(IF(OR($C115="",AN$91="",AN$91&gt;c_RefDate),NA(),IF(ISNUMBER(INDEX(db_Vals,MATCH(AN$91,db_Dates,0),$B115)),INDEX(db_Vals,MATCH(AN$91,db_Dates,0),$B115),NA())),NA())</f>
        <v>#N/A</v>
      </c>
      <c r="AO115" t="e">
        <f>IFERROR(IF(OR($C115="",AO$91="",AO$91&gt;c_RefDate),NA(),IF(ISNUMBER(INDEX(db_Vals,MATCH(AO$91,db_Dates,0),$B115)),INDEX(db_Vals,MATCH(AO$91,db_Dates,0),$B115),NA())),NA())</f>
        <v>#N/A</v>
      </c>
      <c r="AP115" t="e">
        <f>IFERROR(IF(OR($C115="",AP$91="",AP$91&gt;c_RefDate),NA(),IF(ISNUMBER(INDEX(db_Vals,MATCH(AP$91,db_Dates,0),$B115)),INDEX(db_Vals,MATCH(AP$91,db_Dates,0),$B115),NA())),NA())</f>
        <v>#N/A</v>
      </c>
    </row>
    <row r="116" spans="1:42">
      <c r="A116">
        <v>25</v>
      </c>
      <c r="B116">
        <f>MATCH(LARGE($J$46:$J$85,$A116),$J$46:$J$85,0)</f>
        <v>25.0</v>
      </c>
      <c r="C116" t="str">
        <f>INDEX($B$46:$B$85,$B116)</f>
        <v/>
      </c>
      <c r="D116" t="str">
        <f>INDEX($E$46:$E$85,$B116)</f>
        <v/>
      </c>
      <c r="E116">
        <f>INDEX($I$46:$I$85,$B116)</f>
        <v>-1.0</v>
      </c>
      <c r="F116" t="str">
        <f>INDEX($H$46:$H$85,$B116)</f>
        <v/>
      </c>
      <c r="G116">
        <f>INDEX($K$46:$K$85,$B116)</f>
        <v>0.0</v>
      </c>
      <c r="H116" s="130">
        <f>INDEX($D$46:$D$85,$B116)</f>
        <v>0.0</v>
      </c>
      <c r="L116" t="e">
        <f>IFERROR(IF(OR($C116="",L$91="",L$91&gt;c_RefDate),NA(),IF(ISNUMBER(INDEX(db_Vals,MATCH(L$91,db_Dates,0),$B116)),INDEX(db_Vals,MATCH(L$91,db_Dates,0),$B116),NA())),NA())</f>
        <v>#N/A</v>
      </c>
      <c r="M116" t="e">
        <f>IFERROR(IF(OR($C116="",M$91="",M$91&gt;c_RefDate),NA(),IF(ISNUMBER(INDEX(db_Vals,MATCH(M$91,db_Dates,0),$B116)),INDEX(db_Vals,MATCH(M$91,db_Dates,0),$B116),NA())),NA())</f>
        <v>#N/A</v>
      </c>
      <c r="N116" t="e">
        <f>IFERROR(IF(OR($C116="",N$91="",N$91&gt;c_RefDate),NA(),IF(ISNUMBER(INDEX(db_Vals,MATCH(N$91,db_Dates,0),$B116)),INDEX(db_Vals,MATCH(N$91,db_Dates,0),$B116),NA())),NA())</f>
        <v>#N/A</v>
      </c>
      <c r="O116" t="e">
        <f>IFERROR(IF(OR($C116="",O$91="",O$91&gt;c_RefDate),NA(),IF(ISNUMBER(INDEX(db_Vals,MATCH(O$91,db_Dates,0),$B116)),INDEX(db_Vals,MATCH(O$91,db_Dates,0),$B116),NA())),NA())</f>
        <v>#N/A</v>
      </c>
      <c r="P116" t="e">
        <f>IFERROR(IF(OR($C116="",P$91="",P$91&gt;c_RefDate),NA(),IF(ISNUMBER(INDEX(db_Vals,MATCH(P$91,db_Dates,0),$B116)),INDEX(db_Vals,MATCH(P$91,db_Dates,0),$B116),NA())),NA())</f>
        <v>#N/A</v>
      </c>
      <c r="Q116" t="e">
        <f>IFERROR(IF(OR($C116="",Q$91="",Q$91&gt;c_RefDate),NA(),IF(ISNUMBER(INDEX(db_Vals,MATCH(Q$91,db_Dates,0),$B116)),INDEX(db_Vals,MATCH(Q$91,db_Dates,0),$B116),NA())),NA())</f>
        <v>#N/A</v>
      </c>
      <c r="R116" t="e">
        <f>IFERROR(IF(OR($C116="",R$91="",R$91&gt;c_RefDate),NA(),IF(ISNUMBER(INDEX(db_Vals,MATCH(R$91,db_Dates,0),$B116)),INDEX(db_Vals,MATCH(R$91,db_Dates,0),$B116),NA())),NA())</f>
        <v>#N/A</v>
      </c>
      <c r="S116" t="e">
        <f>IFERROR(IF(OR($C116="",S$91="",S$91&gt;c_RefDate),NA(),IF(ISNUMBER(INDEX(db_Vals,MATCH(S$91,db_Dates,0),$B116)),INDEX(db_Vals,MATCH(S$91,db_Dates,0),$B116),NA())),NA())</f>
        <v>#N/A</v>
      </c>
      <c r="T116" t="e">
        <f>IFERROR(IF(OR($C116="",T$91="",T$91&gt;c_RefDate),NA(),IF(ISNUMBER(INDEX(db_Vals,MATCH(T$91,db_Dates,0),$B116)),INDEX(db_Vals,MATCH(T$91,db_Dates,0),$B116),NA())),NA())</f>
        <v>#N/A</v>
      </c>
      <c r="U116" t="e">
        <f>IFERROR(IF(OR($C116="",U$91="",U$91&gt;c_RefDate),NA(),IF(ISNUMBER(INDEX(db_Vals,MATCH(U$91,db_Dates,0),$B116)),INDEX(db_Vals,MATCH(U$91,db_Dates,0),$B116),NA())),NA())</f>
        <v>#N/A</v>
      </c>
      <c r="V116" t="e">
        <f>IFERROR(IF(OR($C116="",V$91="",V$91&gt;c_RefDate),NA(),IF(ISNUMBER(INDEX(db_Vals,MATCH(V$91,db_Dates,0),$B116)),INDEX(db_Vals,MATCH(V$91,db_Dates,0),$B116),NA())),NA())</f>
        <v>#N/A</v>
      </c>
      <c r="W116" t="e">
        <f>IFERROR(IF(OR($C116="",W$91="",W$91&gt;c_RefDate),NA(),IF(ISNUMBER(INDEX(db_Vals,MATCH(W$91,db_Dates,0),$B116)),INDEX(db_Vals,MATCH(W$91,db_Dates,0),$B116),NA())),NA())</f>
        <v>#N/A</v>
      </c>
      <c r="X116" t="e">
        <f>IFERROR(IF(OR($C116="",X$91="",X$91&gt;c_RefDate),NA(),IF(ISNUMBER(INDEX(db_Vals,MATCH(X$91,db_Dates,0),$B116)),INDEX(db_Vals,MATCH(X$91,db_Dates,0),$B116),NA())),NA())</f>
        <v>#N/A</v>
      </c>
      <c r="Y116" t="e">
        <f>IFERROR(IF(OR($C116="",Y$91="",Y$91&gt;c_RefDate),NA(),IF(ISNUMBER(INDEX(db_Vals,MATCH(Y$91,db_Dates,0),$B116)),INDEX(db_Vals,MATCH(Y$91,db_Dates,0),$B116),NA())),NA())</f>
        <v>#N/A</v>
      </c>
      <c r="Z116" t="e">
        <f>IFERROR(IF(OR($C116="",Z$91="",Z$91&gt;c_RefDate),NA(),IF(ISNUMBER(INDEX(db_Vals,MATCH(Z$91,db_Dates,0),$B116)),INDEX(db_Vals,MATCH(Z$91,db_Dates,0),$B116),NA())),NA())</f>
        <v>#N/A</v>
      </c>
      <c r="AA116" t="e">
        <f>IFERROR(IF(OR($C116="",AA$91="",AA$91&gt;c_RefDate),NA(),IF(ISNUMBER(INDEX(db_Vals,MATCH(AA$91,db_Dates,0),$B116)),INDEX(db_Vals,MATCH(AA$91,db_Dates,0),$B116),NA())),NA())</f>
        <v>#N/A</v>
      </c>
      <c r="AB116" t="e">
        <f>IFERROR(IF(OR($C116="",AB$91="",AB$91&gt;c_RefDate),NA(),IF(ISNUMBER(INDEX(db_Vals,MATCH(AB$91,db_Dates,0),$B116)),INDEX(db_Vals,MATCH(AB$91,db_Dates,0),$B116),NA())),NA())</f>
        <v>#N/A</v>
      </c>
      <c r="AC116" t="e">
        <f>IFERROR(IF(OR($C116="",AC$91="",AC$91&gt;c_RefDate),NA(),IF(ISNUMBER(INDEX(db_Vals,MATCH(AC$91,db_Dates,0),$B116)),INDEX(db_Vals,MATCH(AC$91,db_Dates,0),$B116),NA())),NA())</f>
        <v>#N/A</v>
      </c>
      <c r="AD116" t="e">
        <f>IFERROR(IF(OR($C116="",AD$91="",AD$91&gt;c_RefDate),NA(),IF(ISNUMBER(INDEX(db_Vals,MATCH(AD$91,db_Dates,0),$B116)),INDEX(db_Vals,MATCH(AD$91,db_Dates,0),$B116),NA())),NA())</f>
        <v>#N/A</v>
      </c>
      <c r="AE116" t="e">
        <f>IFERROR(IF(OR($C116="",AE$91="",AE$91&gt;c_RefDate),NA(),IF(ISNUMBER(INDEX(db_Vals,MATCH(AE$91,db_Dates,0),$B116)),INDEX(db_Vals,MATCH(AE$91,db_Dates,0),$B116),NA())),NA())</f>
        <v>#N/A</v>
      </c>
      <c r="AF116" t="e">
        <f>IFERROR(IF(OR($C116="",AF$91="",AF$91&gt;c_RefDate),NA(),IF(ISNUMBER(INDEX(db_Vals,MATCH(AF$91,db_Dates,0),$B116)),INDEX(db_Vals,MATCH(AF$91,db_Dates,0),$B116),NA())),NA())</f>
        <v>#N/A</v>
      </c>
      <c r="AG116" t="e">
        <f>IFERROR(IF(OR($C116="",AG$91="",AG$91&gt;c_RefDate),NA(),IF(ISNUMBER(INDEX(db_Vals,MATCH(AG$91,db_Dates,0),$B116)),INDEX(db_Vals,MATCH(AG$91,db_Dates,0),$B116),NA())),NA())</f>
        <v>#N/A</v>
      </c>
      <c r="AH116" t="e">
        <f>IFERROR(IF(OR($C116="",AH$91="",AH$91&gt;c_RefDate),NA(),IF(ISNUMBER(INDEX(db_Vals,MATCH(AH$91,db_Dates,0),$B116)),INDEX(db_Vals,MATCH(AH$91,db_Dates,0),$B116),NA())),NA())</f>
        <v>#N/A</v>
      </c>
      <c r="AI116" t="e">
        <f>IFERROR(IF(OR($C116="",AI$91="",AI$91&gt;c_RefDate),NA(),IF(ISNUMBER(INDEX(db_Vals,MATCH(AI$91,db_Dates,0),$B116)),INDEX(db_Vals,MATCH(AI$91,db_Dates,0),$B116),NA())),NA())</f>
        <v>#N/A</v>
      </c>
      <c r="AJ116" t="e">
        <f>IFERROR(IF(OR($C116="",AJ$91="",AJ$91&gt;c_RefDate),NA(),IF(ISNUMBER(INDEX(db_Vals,MATCH(AJ$91,db_Dates,0),$B116)),INDEX(db_Vals,MATCH(AJ$91,db_Dates,0),$B116),NA())),NA())</f>
        <v>#N/A</v>
      </c>
      <c r="AK116" t="e">
        <f>IFERROR(IF(OR($C116="",AK$91="",AK$91&gt;c_RefDate),NA(),IF(ISNUMBER(INDEX(db_Vals,MATCH(AK$91,db_Dates,0),$B116)),INDEX(db_Vals,MATCH(AK$91,db_Dates,0),$B116),NA())),NA())</f>
        <v>#N/A</v>
      </c>
      <c r="AL116" t="e">
        <f>IFERROR(IF(OR($C116="",AL$91="",AL$91&gt;c_RefDate),NA(),IF(ISNUMBER(INDEX(db_Vals,MATCH(AL$91,db_Dates,0),$B116)),INDEX(db_Vals,MATCH(AL$91,db_Dates,0),$B116),NA())),NA())</f>
        <v>#N/A</v>
      </c>
      <c r="AM116" t="e">
        <f>IFERROR(IF(OR($C116="",AM$91="",AM$91&gt;c_RefDate),NA(),IF(ISNUMBER(INDEX(db_Vals,MATCH(AM$91,db_Dates,0),$B116)),INDEX(db_Vals,MATCH(AM$91,db_Dates,0),$B116),NA())),NA())</f>
        <v>#N/A</v>
      </c>
      <c r="AN116" t="e">
        <f>IFERROR(IF(OR($C116="",AN$91="",AN$91&gt;c_RefDate),NA(),IF(ISNUMBER(INDEX(db_Vals,MATCH(AN$91,db_Dates,0),$B116)),INDEX(db_Vals,MATCH(AN$91,db_Dates,0),$B116),NA())),NA())</f>
        <v>#N/A</v>
      </c>
      <c r="AO116" t="e">
        <f>IFERROR(IF(OR($C116="",AO$91="",AO$91&gt;c_RefDate),NA(),IF(ISNUMBER(INDEX(db_Vals,MATCH(AO$91,db_Dates,0),$B116)),INDEX(db_Vals,MATCH(AO$91,db_Dates,0),$B116),NA())),NA())</f>
        <v>#N/A</v>
      </c>
      <c r="AP116" t="e">
        <f>IFERROR(IF(OR($C116="",AP$91="",AP$91&gt;c_RefDate),NA(),IF(ISNUMBER(INDEX(db_Vals,MATCH(AP$91,db_Dates,0),$B116)),INDEX(db_Vals,MATCH(AP$91,db_Dates,0),$B116),NA())),NA())</f>
        <v>#N/A</v>
      </c>
    </row>
    <row r="117" spans="1:42">
      <c r="A117">
        <v>26</v>
      </c>
      <c r="B117">
        <f>MATCH(LARGE($J$46:$J$85,$A117),$J$46:$J$85,0)</f>
        <v>26.0</v>
      </c>
      <c r="C117" t="str">
        <f>INDEX($B$46:$B$85,$B117)</f>
        <v/>
      </c>
      <c r="D117" t="str">
        <f>INDEX($E$46:$E$85,$B117)</f>
        <v/>
      </c>
      <c r="E117">
        <f>INDEX($I$46:$I$85,$B117)</f>
        <v>-1.0</v>
      </c>
      <c r="F117" t="str">
        <f>INDEX($H$46:$H$85,$B117)</f>
        <v/>
      </c>
      <c r="G117">
        <f>INDEX($K$46:$K$85,$B117)</f>
        <v>0.0</v>
      </c>
      <c r="H117" s="130">
        <f>INDEX($D$46:$D$85,$B117)</f>
        <v>0.0</v>
      </c>
      <c r="L117" t="e">
        <f>IFERROR(IF(OR($C117="",L$91="",L$91&gt;c_RefDate),NA(),IF(ISNUMBER(INDEX(db_Vals,MATCH(L$91,db_Dates,0),$B117)),INDEX(db_Vals,MATCH(L$91,db_Dates,0),$B117),NA())),NA())</f>
        <v>#N/A</v>
      </c>
      <c r="M117" t="e">
        <f>IFERROR(IF(OR($C117="",M$91="",M$91&gt;c_RefDate),NA(),IF(ISNUMBER(INDEX(db_Vals,MATCH(M$91,db_Dates,0),$B117)),INDEX(db_Vals,MATCH(M$91,db_Dates,0),$B117),NA())),NA())</f>
        <v>#N/A</v>
      </c>
      <c r="N117" t="e">
        <f>IFERROR(IF(OR($C117="",N$91="",N$91&gt;c_RefDate),NA(),IF(ISNUMBER(INDEX(db_Vals,MATCH(N$91,db_Dates,0),$B117)),INDEX(db_Vals,MATCH(N$91,db_Dates,0),$B117),NA())),NA())</f>
        <v>#N/A</v>
      </c>
      <c r="O117" t="e">
        <f>IFERROR(IF(OR($C117="",O$91="",O$91&gt;c_RefDate),NA(),IF(ISNUMBER(INDEX(db_Vals,MATCH(O$91,db_Dates,0),$B117)),INDEX(db_Vals,MATCH(O$91,db_Dates,0),$B117),NA())),NA())</f>
        <v>#N/A</v>
      </c>
      <c r="P117" t="e">
        <f>IFERROR(IF(OR($C117="",P$91="",P$91&gt;c_RefDate),NA(),IF(ISNUMBER(INDEX(db_Vals,MATCH(P$91,db_Dates,0),$B117)),INDEX(db_Vals,MATCH(P$91,db_Dates,0),$B117),NA())),NA())</f>
        <v>#N/A</v>
      </c>
      <c r="Q117" t="e">
        <f>IFERROR(IF(OR($C117="",Q$91="",Q$91&gt;c_RefDate),NA(),IF(ISNUMBER(INDEX(db_Vals,MATCH(Q$91,db_Dates,0),$B117)),INDEX(db_Vals,MATCH(Q$91,db_Dates,0),$B117),NA())),NA())</f>
        <v>#N/A</v>
      </c>
      <c r="R117" t="e">
        <f>IFERROR(IF(OR($C117="",R$91="",R$91&gt;c_RefDate),NA(),IF(ISNUMBER(INDEX(db_Vals,MATCH(R$91,db_Dates,0),$B117)),INDEX(db_Vals,MATCH(R$91,db_Dates,0),$B117),NA())),NA())</f>
        <v>#N/A</v>
      </c>
      <c r="S117" t="e">
        <f>IFERROR(IF(OR($C117="",S$91="",S$91&gt;c_RefDate),NA(),IF(ISNUMBER(INDEX(db_Vals,MATCH(S$91,db_Dates,0),$B117)),INDEX(db_Vals,MATCH(S$91,db_Dates,0),$B117),NA())),NA())</f>
        <v>#N/A</v>
      </c>
      <c r="T117" t="e">
        <f>IFERROR(IF(OR($C117="",T$91="",T$91&gt;c_RefDate),NA(),IF(ISNUMBER(INDEX(db_Vals,MATCH(T$91,db_Dates,0),$B117)),INDEX(db_Vals,MATCH(T$91,db_Dates,0),$B117),NA())),NA())</f>
        <v>#N/A</v>
      </c>
      <c r="U117" t="e">
        <f>IFERROR(IF(OR($C117="",U$91="",U$91&gt;c_RefDate),NA(),IF(ISNUMBER(INDEX(db_Vals,MATCH(U$91,db_Dates,0),$B117)),INDEX(db_Vals,MATCH(U$91,db_Dates,0),$B117),NA())),NA())</f>
        <v>#N/A</v>
      </c>
      <c r="V117" t="e">
        <f>IFERROR(IF(OR($C117="",V$91="",V$91&gt;c_RefDate),NA(),IF(ISNUMBER(INDEX(db_Vals,MATCH(V$91,db_Dates,0),$B117)),INDEX(db_Vals,MATCH(V$91,db_Dates,0),$B117),NA())),NA())</f>
        <v>#N/A</v>
      </c>
      <c r="W117" t="e">
        <f>IFERROR(IF(OR($C117="",W$91="",W$91&gt;c_RefDate),NA(),IF(ISNUMBER(INDEX(db_Vals,MATCH(W$91,db_Dates,0),$B117)),INDEX(db_Vals,MATCH(W$91,db_Dates,0),$B117),NA())),NA())</f>
        <v>#N/A</v>
      </c>
      <c r="X117" t="e">
        <f>IFERROR(IF(OR($C117="",X$91="",X$91&gt;c_RefDate),NA(),IF(ISNUMBER(INDEX(db_Vals,MATCH(X$91,db_Dates,0),$B117)),INDEX(db_Vals,MATCH(X$91,db_Dates,0),$B117),NA())),NA())</f>
        <v>#N/A</v>
      </c>
      <c r="Y117" t="e">
        <f>IFERROR(IF(OR($C117="",Y$91="",Y$91&gt;c_RefDate),NA(),IF(ISNUMBER(INDEX(db_Vals,MATCH(Y$91,db_Dates,0),$B117)),INDEX(db_Vals,MATCH(Y$91,db_Dates,0),$B117),NA())),NA())</f>
        <v>#N/A</v>
      </c>
      <c r="Z117" t="e">
        <f>IFERROR(IF(OR($C117="",Z$91="",Z$91&gt;c_RefDate),NA(),IF(ISNUMBER(INDEX(db_Vals,MATCH(Z$91,db_Dates,0),$B117)),INDEX(db_Vals,MATCH(Z$91,db_Dates,0),$B117),NA())),NA())</f>
        <v>#N/A</v>
      </c>
      <c r="AA117" t="e">
        <f>IFERROR(IF(OR($C117="",AA$91="",AA$91&gt;c_RefDate),NA(),IF(ISNUMBER(INDEX(db_Vals,MATCH(AA$91,db_Dates,0),$B117)),INDEX(db_Vals,MATCH(AA$91,db_Dates,0),$B117),NA())),NA())</f>
        <v>#N/A</v>
      </c>
      <c r="AB117" t="e">
        <f>IFERROR(IF(OR($C117="",AB$91="",AB$91&gt;c_RefDate),NA(),IF(ISNUMBER(INDEX(db_Vals,MATCH(AB$91,db_Dates,0),$B117)),INDEX(db_Vals,MATCH(AB$91,db_Dates,0),$B117),NA())),NA())</f>
        <v>#N/A</v>
      </c>
      <c r="AC117" t="e">
        <f>IFERROR(IF(OR($C117="",AC$91="",AC$91&gt;c_RefDate),NA(),IF(ISNUMBER(INDEX(db_Vals,MATCH(AC$91,db_Dates,0),$B117)),INDEX(db_Vals,MATCH(AC$91,db_Dates,0),$B117),NA())),NA())</f>
        <v>#N/A</v>
      </c>
      <c r="AD117" t="e">
        <f>IFERROR(IF(OR($C117="",AD$91="",AD$91&gt;c_RefDate),NA(),IF(ISNUMBER(INDEX(db_Vals,MATCH(AD$91,db_Dates,0),$B117)),INDEX(db_Vals,MATCH(AD$91,db_Dates,0),$B117),NA())),NA())</f>
        <v>#N/A</v>
      </c>
      <c r="AE117" t="e">
        <f>IFERROR(IF(OR($C117="",AE$91="",AE$91&gt;c_RefDate),NA(),IF(ISNUMBER(INDEX(db_Vals,MATCH(AE$91,db_Dates,0),$B117)),INDEX(db_Vals,MATCH(AE$91,db_Dates,0),$B117),NA())),NA())</f>
        <v>#N/A</v>
      </c>
      <c r="AF117" t="e">
        <f>IFERROR(IF(OR($C117="",AF$91="",AF$91&gt;c_RefDate),NA(),IF(ISNUMBER(INDEX(db_Vals,MATCH(AF$91,db_Dates,0),$B117)),INDEX(db_Vals,MATCH(AF$91,db_Dates,0),$B117),NA())),NA())</f>
        <v>#N/A</v>
      </c>
      <c r="AG117" t="e">
        <f>IFERROR(IF(OR($C117="",AG$91="",AG$91&gt;c_RefDate),NA(),IF(ISNUMBER(INDEX(db_Vals,MATCH(AG$91,db_Dates,0),$B117)),INDEX(db_Vals,MATCH(AG$91,db_Dates,0),$B117),NA())),NA())</f>
        <v>#N/A</v>
      </c>
      <c r="AH117" t="e">
        <f>IFERROR(IF(OR($C117="",AH$91="",AH$91&gt;c_RefDate),NA(),IF(ISNUMBER(INDEX(db_Vals,MATCH(AH$91,db_Dates,0),$B117)),INDEX(db_Vals,MATCH(AH$91,db_Dates,0),$B117),NA())),NA())</f>
        <v>#N/A</v>
      </c>
      <c r="AI117" t="e">
        <f>IFERROR(IF(OR($C117="",AI$91="",AI$91&gt;c_RefDate),NA(),IF(ISNUMBER(INDEX(db_Vals,MATCH(AI$91,db_Dates,0),$B117)),INDEX(db_Vals,MATCH(AI$91,db_Dates,0),$B117),NA())),NA())</f>
        <v>#N/A</v>
      </c>
      <c r="AJ117" t="e">
        <f>IFERROR(IF(OR($C117="",AJ$91="",AJ$91&gt;c_RefDate),NA(),IF(ISNUMBER(INDEX(db_Vals,MATCH(AJ$91,db_Dates,0),$B117)),INDEX(db_Vals,MATCH(AJ$91,db_Dates,0),$B117),NA())),NA())</f>
        <v>#N/A</v>
      </c>
      <c r="AK117" t="e">
        <f>IFERROR(IF(OR($C117="",AK$91="",AK$91&gt;c_RefDate),NA(),IF(ISNUMBER(INDEX(db_Vals,MATCH(AK$91,db_Dates,0),$B117)),INDEX(db_Vals,MATCH(AK$91,db_Dates,0),$B117),NA())),NA())</f>
        <v>#N/A</v>
      </c>
      <c r="AL117" t="e">
        <f>IFERROR(IF(OR($C117="",AL$91="",AL$91&gt;c_RefDate),NA(),IF(ISNUMBER(INDEX(db_Vals,MATCH(AL$91,db_Dates,0),$B117)),INDEX(db_Vals,MATCH(AL$91,db_Dates,0),$B117),NA())),NA())</f>
        <v>#N/A</v>
      </c>
      <c r="AM117" t="e">
        <f>IFERROR(IF(OR($C117="",AM$91="",AM$91&gt;c_RefDate),NA(),IF(ISNUMBER(INDEX(db_Vals,MATCH(AM$91,db_Dates,0),$B117)),INDEX(db_Vals,MATCH(AM$91,db_Dates,0),$B117),NA())),NA())</f>
        <v>#N/A</v>
      </c>
      <c r="AN117" t="e">
        <f>IFERROR(IF(OR($C117="",AN$91="",AN$91&gt;c_RefDate),NA(),IF(ISNUMBER(INDEX(db_Vals,MATCH(AN$91,db_Dates,0),$B117)),INDEX(db_Vals,MATCH(AN$91,db_Dates,0),$B117),NA())),NA())</f>
        <v>#N/A</v>
      </c>
      <c r="AO117" t="e">
        <f>IFERROR(IF(OR($C117="",AO$91="",AO$91&gt;c_RefDate),NA(),IF(ISNUMBER(INDEX(db_Vals,MATCH(AO$91,db_Dates,0),$B117)),INDEX(db_Vals,MATCH(AO$91,db_Dates,0),$B117),NA())),NA())</f>
        <v>#N/A</v>
      </c>
      <c r="AP117" t="e">
        <f>IFERROR(IF(OR($C117="",AP$91="",AP$91&gt;c_RefDate),NA(),IF(ISNUMBER(INDEX(db_Vals,MATCH(AP$91,db_Dates,0),$B117)),INDEX(db_Vals,MATCH(AP$91,db_Dates,0),$B117),NA())),NA())</f>
        <v>#N/A</v>
      </c>
    </row>
    <row r="118" spans="1:42">
      <c r="A118">
        <v>27</v>
      </c>
      <c r="B118">
        <f>MATCH(LARGE($J$46:$J$85,$A118),$J$46:$J$85,0)</f>
        <v>27.0</v>
      </c>
      <c r="C118" t="str">
        <f>INDEX($B$46:$B$85,$B118)</f>
        <v/>
      </c>
      <c r="D118" t="str">
        <f>INDEX($E$46:$E$85,$B118)</f>
        <v/>
      </c>
      <c r="E118">
        <f>INDEX($I$46:$I$85,$B118)</f>
        <v>-1.0</v>
      </c>
      <c r="F118" t="str">
        <f>INDEX($H$46:$H$85,$B118)</f>
        <v/>
      </c>
      <c r="G118">
        <f>INDEX($K$46:$K$85,$B118)</f>
        <v>0.0</v>
      </c>
      <c r="H118" s="130">
        <f>INDEX($D$46:$D$85,$B118)</f>
        <v>0.0</v>
      </c>
      <c r="L118" t="e">
        <f>IFERROR(IF(OR($C118="",L$91="",L$91&gt;c_RefDate),NA(),IF(ISNUMBER(INDEX(db_Vals,MATCH(L$91,db_Dates,0),$B118)),INDEX(db_Vals,MATCH(L$91,db_Dates,0),$B118),NA())),NA())</f>
        <v>#N/A</v>
      </c>
      <c r="M118" t="e">
        <f>IFERROR(IF(OR($C118="",M$91="",M$91&gt;c_RefDate),NA(),IF(ISNUMBER(INDEX(db_Vals,MATCH(M$91,db_Dates,0),$B118)),INDEX(db_Vals,MATCH(M$91,db_Dates,0),$B118),NA())),NA())</f>
        <v>#N/A</v>
      </c>
      <c r="N118" t="e">
        <f>IFERROR(IF(OR($C118="",N$91="",N$91&gt;c_RefDate),NA(),IF(ISNUMBER(INDEX(db_Vals,MATCH(N$91,db_Dates,0),$B118)),INDEX(db_Vals,MATCH(N$91,db_Dates,0),$B118),NA())),NA())</f>
        <v>#N/A</v>
      </c>
      <c r="O118" t="e">
        <f>IFERROR(IF(OR($C118="",O$91="",O$91&gt;c_RefDate),NA(),IF(ISNUMBER(INDEX(db_Vals,MATCH(O$91,db_Dates,0),$B118)),INDEX(db_Vals,MATCH(O$91,db_Dates,0),$B118),NA())),NA())</f>
        <v>#N/A</v>
      </c>
      <c r="P118" t="e">
        <f>IFERROR(IF(OR($C118="",P$91="",P$91&gt;c_RefDate),NA(),IF(ISNUMBER(INDEX(db_Vals,MATCH(P$91,db_Dates,0),$B118)),INDEX(db_Vals,MATCH(P$91,db_Dates,0),$B118),NA())),NA())</f>
        <v>#N/A</v>
      </c>
      <c r="Q118" t="e">
        <f>IFERROR(IF(OR($C118="",Q$91="",Q$91&gt;c_RefDate),NA(),IF(ISNUMBER(INDEX(db_Vals,MATCH(Q$91,db_Dates,0),$B118)),INDEX(db_Vals,MATCH(Q$91,db_Dates,0),$B118),NA())),NA())</f>
        <v>#N/A</v>
      </c>
      <c r="R118" t="e">
        <f>IFERROR(IF(OR($C118="",R$91="",R$91&gt;c_RefDate),NA(),IF(ISNUMBER(INDEX(db_Vals,MATCH(R$91,db_Dates,0),$B118)),INDEX(db_Vals,MATCH(R$91,db_Dates,0),$B118),NA())),NA())</f>
        <v>#N/A</v>
      </c>
      <c r="S118" t="e">
        <f>IFERROR(IF(OR($C118="",S$91="",S$91&gt;c_RefDate),NA(),IF(ISNUMBER(INDEX(db_Vals,MATCH(S$91,db_Dates,0),$B118)),INDEX(db_Vals,MATCH(S$91,db_Dates,0),$B118),NA())),NA())</f>
        <v>#N/A</v>
      </c>
      <c r="T118" t="e">
        <f>IFERROR(IF(OR($C118="",T$91="",T$91&gt;c_RefDate),NA(),IF(ISNUMBER(INDEX(db_Vals,MATCH(T$91,db_Dates,0),$B118)),INDEX(db_Vals,MATCH(T$91,db_Dates,0),$B118),NA())),NA())</f>
        <v>#N/A</v>
      </c>
      <c r="U118" t="e">
        <f>IFERROR(IF(OR($C118="",U$91="",U$91&gt;c_RefDate),NA(),IF(ISNUMBER(INDEX(db_Vals,MATCH(U$91,db_Dates,0),$B118)),INDEX(db_Vals,MATCH(U$91,db_Dates,0),$B118),NA())),NA())</f>
        <v>#N/A</v>
      </c>
      <c r="V118" t="e">
        <f>IFERROR(IF(OR($C118="",V$91="",V$91&gt;c_RefDate),NA(),IF(ISNUMBER(INDEX(db_Vals,MATCH(V$91,db_Dates,0),$B118)),INDEX(db_Vals,MATCH(V$91,db_Dates,0),$B118),NA())),NA())</f>
        <v>#N/A</v>
      </c>
      <c r="W118" t="e">
        <f>IFERROR(IF(OR($C118="",W$91="",W$91&gt;c_RefDate),NA(),IF(ISNUMBER(INDEX(db_Vals,MATCH(W$91,db_Dates,0),$B118)),INDEX(db_Vals,MATCH(W$91,db_Dates,0),$B118),NA())),NA())</f>
        <v>#N/A</v>
      </c>
      <c r="X118" t="e">
        <f>IFERROR(IF(OR($C118="",X$91="",X$91&gt;c_RefDate),NA(),IF(ISNUMBER(INDEX(db_Vals,MATCH(X$91,db_Dates,0),$B118)),INDEX(db_Vals,MATCH(X$91,db_Dates,0),$B118),NA())),NA())</f>
        <v>#N/A</v>
      </c>
      <c r="Y118" t="e">
        <f>IFERROR(IF(OR($C118="",Y$91="",Y$91&gt;c_RefDate),NA(),IF(ISNUMBER(INDEX(db_Vals,MATCH(Y$91,db_Dates,0),$B118)),INDEX(db_Vals,MATCH(Y$91,db_Dates,0),$B118),NA())),NA())</f>
        <v>#N/A</v>
      </c>
      <c r="Z118" t="e">
        <f>IFERROR(IF(OR($C118="",Z$91="",Z$91&gt;c_RefDate),NA(),IF(ISNUMBER(INDEX(db_Vals,MATCH(Z$91,db_Dates,0),$B118)),INDEX(db_Vals,MATCH(Z$91,db_Dates,0),$B118),NA())),NA())</f>
        <v>#N/A</v>
      </c>
      <c r="AA118" t="e">
        <f>IFERROR(IF(OR($C118="",AA$91="",AA$91&gt;c_RefDate),NA(),IF(ISNUMBER(INDEX(db_Vals,MATCH(AA$91,db_Dates,0),$B118)),INDEX(db_Vals,MATCH(AA$91,db_Dates,0),$B118),NA())),NA())</f>
        <v>#N/A</v>
      </c>
      <c r="AB118" t="e">
        <f>IFERROR(IF(OR($C118="",AB$91="",AB$91&gt;c_RefDate),NA(),IF(ISNUMBER(INDEX(db_Vals,MATCH(AB$91,db_Dates,0),$B118)),INDEX(db_Vals,MATCH(AB$91,db_Dates,0),$B118),NA())),NA())</f>
        <v>#N/A</v>
      </c>
      <c r="AC118" t="e">
        <f>IFERROR(IF(OR($C118="",AC$91="",AC$91&gt;c_RefDate),NA(),IF(ISNUMBER(INDEX(db_Vals,MATCH(AC$91,db_Dates,0),$B118)),INDEX(db_Vals,MATCH(AC$91,db_Dates,0),$B118),NA())),NA())</f>
        <v>#N/A</v>
      </c>
      <c r="AD118" t="e">
        <f>IFERROR(IF(OR($C118="",AD$91="",AD$91&gt;c_RefDate),NA(),IF(ISNUMBER(INDEX(db_Vals,MATCH(AD$91,db_Dates,0),$B118)),INDEX(db_Vals,MATCH(AD$91,db_Dates,0),$B118),NA())),NA())</f>
        <v>#N/A</v>
      </c>
      <c r="AE118" t="e">
        <f>IFERROR(IF(OR($C118="",AE$91="",AE$91&gt;c_RefDate),NA(),IF(ISNUMBER(INDEX(db_Vals,MATCH(AE$91,db_Dates,0),$B118)),INDEX(db_Vals,MATCH(AE$91,db_Dates,0),$B118),NA())),NA())</f>
        <v>#N/A</v>
      </c>
      <c r="AF118" t="e">
        <f>IFERROR(IF(OR($C118="",AF$91="",AF$91&gt;c_RefDate),NA(),IF(ISNUMBER(INDEX(db_Vals,MATCH(AF$91,db_Dates,0),$B118)),INDEX(db_Vals,MATCH(AF$91,db_Dates,0),$B118),NA())),NA())</f>
        <v>#N/A</v>
      </c>
      <c r="AG118" t="e">
        <f>IFERROR(IF(OR($C118="",AG$91="",AG$91&gt;c_RefDate),NA(),IF(ISNUMBER(INDEX(db_Vals,MATCH(AG$91,db_Dates,0),$B118)),INDEX(db_Vals,MATCH(AG$91,db_Dates,0),$B118),NA())),NA())</f>
        <v>#N/A</v>
      </c>
      <c r="AH118" t="e">
        <f>IFERROR(IF(OR($C118="",AH$91="",AH$91&gt;c_RefDate),NA(),IF(ISNUMBER(INDEX(db_Vals,MATCH(AH$91,db_Dates,0),$B118)),INDEX(db_Vals,MATCH(AH$91,db_Dates,0),$B118),NA())),NA())</f>
        <v>#N/A</v>
      </c>
      <c r="AI118" t="e">
        <f>IFERROR(IF(OR($C118="",AI$91="",AI$91&gt;c_RefDate),NA(),IF(ISNUMBER(INDEX(db_Vals,MATCH(AI$91,db_Dates,0),$B118)),INDEX(db_Vals,MATCH(AI$91,db_Dates,0),$B118),NA())),NA())</f>
        <v>#N/A</v>
      </c>
      <c r="AJ118" t="e">
        <f>IFERROR(IF(OR($C118="",AJ$91="",AJ$91&gt;c_RefDate),NA(),IF(ISNUMBER(INDEX(db_Vals,MATCH(AJ$91,db_Dates,0),$B118)),INDEX(db_Vals,MATCH(AJ$91,db_Dates,0),$B118),NA())),NA())</f>
        <v>#N/A</v>
      </c>
      <c r="AK118" t="e">
        <f>IFERROR(IF(OR($C118="",AK$91="",AK$91&gt;c_RefDate),NA(),IF(ISNUMBER(INDEX(db_Vals,MATCH(AK$91,db_Dates,0),$B118)),INDEX(db_Vals,MATCH(AK$91,db_Dates,0),$B118),NA())),NA())</f>
        <v>#N/A</v>
      </c>
      <c r="AL118" t="e">
        <f>IFERROR(IF(OR($C118="",AL$91="",AL$91&gt;c_RefDate),NA(),IF(ISNUMBER(INDEX(db_Vals,MATCH(AL$91,db_Dates,0),$B118)),INDEX(db_Vals,MATCH(AL$91,db_Dates,0),$B118),NA())),NA())</f>
        <v>#N/A</v>
      </c>
      <c r="AM118" t="e">
        <f>IFERROR(IF(OR($C118="",AM$91="",AM$91&gt;c_RefDate),NA(),IF(ISNUMBER(INDEX(db_Vals,MATCH(AM$91,db_Dates,0),$B118)),INDEX(db_Vals,MATCH(AM$91,db_Dates,0),$B118),NA())),NA())</f>
        <v>#N/A</v>
      </c>
      <c r="AN118" t="e">
        <f>IFERROR(IF(OR($C118="",AN$91="",AN$91&gt;c_RefDate),NA(),IF(ISNUMBER(INDEX(db_Vals,MATCH(AN$91,db_Dates,0),$B118)),INDEX(db_Vals,MATCH(AN$91,db_Dates,0),$B118),NA())),NA())</f>
        <v>#N/A</v>
      </c>
      <c r="AO118" t="e">
        <f>IFERROR(IF(OR($C118="",AO$91="",AO$91&gt;c_RefDate),NA(),IF(ISNUMBER(INDEX(db_Vals,MATCH(AO$91,db_Dates,0),$B118)),INDEX(db_Vals,MATCH(AO$91,db_Dates,0),$B118),NA())),NA())</f>
        <v>#N/A</v>
      </c>
      <c r="AP118" t="e">
        <f>IFERROR(IF(OR($C118="",AP$91="",AP$91&gt;c_RefDate),NA(),IF(ISNUMBER(INDEX(db_Vals,MATCH(AP$91,db_Dates,0),$B118)),INDEX(db_Vals,MATCH(AP$91,db_Dates,0),$B118),NA())),NA())</f>
        <v>#N/A</v>
      </c>
    </row>
    <row r="119" spans="1:42">
      <c r="A119">
        <v>28</v>
      </c>
      <c r="B119">
        <f>MATCH(LARGE($J$46:$J$85,$A119),$J$46:$J$85,0)</f>
        <v>28.0</v>
      </c>
      <c r="C119" t="str">
        <f>INDEX($B$46:$B$85,$B119)</f>
        <v/>
      </c>
      <c r="D119" t="str">
        <f>INDEX($E$46:$E$85,$B119)</f>
        <v/>
      </c>
      <c r="E119">
        <f>INDEX($I$46:$I$85,$B119)</f>
        <v>-1.0</v>
      </c>
      <c r="F119" t="str">
        <f>INDEX($H$46:$H$85,$B119)</f>
        <v/>
      </c>
      <c r="G119">
        <f>INDEX($K$46:$K$85,$B119)</f>
        <v>0.0</v>
      </c>
      <c r="H119" s="130">
        <f>INDEX($D$46:$D$85,$B119)</f>
        <v>0.0</v>
      </c>
      <c r="L119" t="e">
        <f>IFERROR(IF(OR($C119="",L$91="",L$91&gt;c_RefDate),NA(),IF(ISNUMBER(INDEX(db_Vals,MATCH(L$91,db_Dates,0),$B119)),INDEX(db_Vals,MATCH(L$91,db_Dates,0),$B119),NA())),NA())</f>
        <v>#N/A</v>
      </c>
      <c r="M119" t="e">
        <f>IFERROR(IF(OR($C119="",M$91="",M$91&gt;c_RefDate),NA(),IF(ISNUMBER(INDEX(db_Vals,MATCH(M$91,db_Dates,0),$B119)),INDEX(db_Vals,MATCH(M$91,db_Dates,0),$B119),NA())),NA())</f>
        <v>#N/A</v>
      </c>
      <c r="N119" t="e">
        <f>IFERROR(IF(OR($C119="",N$91="",N$91&gt;c_RefDate),NA(),IF(ISNUMBER(INDEX(db_Vals,MATCH(N$91,db_Dates,0),$B119)),INDEX(db_Vals,MATCH(N$91,db_Dates,0),$B119),NA())),NA())</f>
        <v>#N/A</v>
      </c>
      <c r="O119" t="e">
        <f>IFERROR(IF(OR($C119="",O$91="",O$91&gt;c_RefDate),NA(),IF(ISNUMBER(INDEX(db_Vals,MATCH(O$91,db_Dates,0),$B119)),INDEX(db_Vals,MATCH(O$91,db_Dates,0),$B119),NA())),NA())</f>
        <v>#N/A</v>
      </c>
      <c r="P119" t="e">
        <f>IFERROR(IF(OR($C119="",P$91="",P$91&gt;c_RefDate),NA(),IF(ISNUMBER(INDEX(db_Vals,MATCH(P$91,db_Dates,0),$B119)),INDEX(db_Vals,MATCH(P$91,db_Dates,0),$B119),NA())),NA())</f>
        <v>#N/A</v>
      </c>
      <c r="Q119" t="e">
        <f>IFERROR(IF(OR($C119="",Q$91="",Q$91&gt;c_RefDate),NA(),IF(ISNUMBER(INDEX(db_Vals,MATCH(Q$91,db_Dates,0),$B119)),INDEX(db_Vals,MATCH(Q$91,db_Dates,0),$B119),NA())),NA())</f>
        <v>#N/A</v>
      </c>
      <c r="R119" t="e">
        <f>IFERROR(IF(OR($C119="",R$91="",R$91&gt;c_RefDate),NA(),IF(ISNUMBER(INDEX(db_Vals,MATCH(R$91,db_Dates,0),$B119)),INDEX(db_Vals,MATCH(R$91,db_Dates,0),$B119),NA())),NA())</f>
        <v>#N/A</v>
      </c>
      <c r="S119" t="e">
        <f>IFERROR(IF(OR($C119="",S$91="",S$91&gt;c_RefDate),NA(),IF(ISNUMBER(INDEX(db_Vals,MATCH(S$91,db_Dates,0),$B119)),INDEX(db_Vals,MATCH(S$91,db_Dates,0),$B119),NA())),NA())</f>
        <v>#N/A</v>
      </c>
      <c r="T119" t="e">
        <f>IFERROR(IF(OR($C119="",T$91="",T$91&gt;c_RefDate),NA(),IF(ISNUMBER(INDEX(db_Vals,MATCH(T$91,db_Dates,0),$B119)),INDEX(db_Vals,MATCH(T$91,db_Dates,0),$B119),NA())),NA())</f>
        <v>#N/A</v>
      </c>
      <c r="U119" t="e">
        <f>IFERROR(IF(OR($C119="",U$91="",U$91&gt;c_RefDate),NA(),IF(ISNUMBER(INDEX(db_Vals,MATCH(U$91,db_Dates,0),$B119)),INDEX(db_Vals,MATCH(U$91,db_Dates,0),$B119),NA())),NA())</f>
        <v>#N/A</v>
      </c>
      <c r="V119" t="e">
        <f>IFERROR(IF(OR($C119="",V$91="",V$91&gt;c_RefDate),NA(),IF(ISNUMBER(INDEX(db_Vals,MATCH(V$91,db_Dates,0),$B119)),INDEX(db_Vals,MATCH(V$91,db_Dates,0),$B119),NA())),NA())</f>
        <v>#N/A</v>
      </c>
      <c r="W119" t="e">
        <f>IFERROR(IF(OR($C119="",W$91="",W$91&gt;c_RefDate),NA(),IF(ISNUMBER(INDEX(db_Vals,MATCH(W$91,db_Dates,0),$B119)),INDEX(db_Vals,MATCH(W$91,db_Dates,0),$B119),NA())),NA())</f>
        <v>#N/A</v>
      </c>
      <c r="X119" t="e">
        <f>IFERROR(IF(OR($C119="",X$91="",X$91&gt;c_RefDate),NA(),IF(ISNUMBER(INDEX(db_Vals,MATCH(X$91,db_Dates,0),$B119)),INDEX(db_Vals,MATCH(X$91,db_Dates,0),$B119),NA())),NA())</f>
        <v>#N/A</v>
      </c>
      <c r="Y119" t="e">
        <f>IFERROR(IF(OR($C119="",Y$91="",Y$91&gt;c_RefDate),NA(),IF(ISNUMBER(INDEX(db_Vals,MATCH(Y$91,db_Dates,0),$B119)),INDEX(db_Vals,MATCH(Y$91,db_Dates,0),$B119),NA())),NA())</f>
        <v>#N/A</v>
      </c>
      <c r="Z119" t="e">
        <f>IFERROR(IF(OR($C119="",Z$91="",Z$91&gt;c_RefDate),NA(),IF(ISNUMBER(INDEX(db_Vals,MATCH(Z$91,db_Dates,0),$B119)),INDEX(db_Vals,MATCH(Z$91,db_Dates,0),$B119),NA())),NA())</f>
        <v>#N/A</v>
      </c>
      <c r="AA119" t="e">
        <f>IFERROR(IF(OR($C119="",AA$91="",AA$91&gt;c_RefDate),NA(),IF(ISNUMBER(INDEX(db_Vals,MATCH(AA$91,db_Dates,0),$B119)),INDEX(db_Vals,MATCH(AA$91,db_Dates,0),$B119),NA())),NA())</f>
        <v>#N/A</v>
      </c>
      <c r="AB119" t="e">
        <f>IFERROR(IF(OR($C119="",AB$91="",AB$91&gt;c_RefDate),NA(),IF(ISNUMBER(INDEX(db_Vals,MATCH(AB$91,db_Dates,0),$B119)),INDEX(db_Vals,MATCH(AB$91,db_Dates,0),$B119),NA())),NA())</f>
        <v>#N/A</v>
      </c>
      <c r="AC119" t="e">
        <f>IFERROR(IF(OR($C119="",AC$91="",AC$91&gt;c_RefDate),NA(),IF(ISNUMBER(INDEX(db_Vals,MATCH(AC$91,db_Dates,0),$B119)),INDEX(db_Vals,MATCH(AC$91,db_Dates,0),$B119),NA())),NA())</f>
        <v>#N/A</v>
      </c>
      <c r="AD119" t="e">
        <f>IFERROR(IF(OR($C119="",AD$91="",AD$91&gt;c_RefDate),NA(),IF(ISNUMBER(INDEX(db_Vals,MATCH(AD$91,db_Dates,0),$B119)),INDEX(db_Vals,MATCH(AD$91,db_Dates,0),$B119),NA())),NA())</f>
        <v>#N/A</v>
      </c>
      <c r="AE119" t="e">
        <f>IFERROR(IF(OR($C119="",AE$91="",AE$91&gt;c_RefDate),NA(),IF(ISNUMBER(INDEX(db_Vals,MATCH(AE$91,db_Dates,0),$B119)),INDEX(db_Vals,MATCH(AE$91,db_Dates,0),$B119),NA())),NA())</f>
        <v>#N/A</v>
      </c>
      <c r="AF119" t="e">
        <f>IFERROR(IF(OR($C119="",AF$91="",AF$91&gt;c_RefDate),NA(),IF(ISNUMBER(INDEX(db_Vals,MATCH(AF$91,db_Dates,0),$B119)),INDEX(db_Vals,MATCH(AF$91,db_Dates,0),$B119),NA())),NA())</f>
        <v>#N/A</v>
      </c>
      <c r="AG119" t="e">
        <f>IFERROR(IF(OR($C119="",AG$91="",AG$91&gt;c_RefDate),NA(),IF(ISNUMBER(INDEX(db_Vals,MATCH(AG$91,db_Dates,0),$B119)),INDEX(db_Vals,MATCH(AG$91,db_Dates,0),$B119),NA())),NA())</f>
        <v>#N/A</v>
      </c>
      <c r="AH119" t="e">
        <f>IFERROR(IF(OR($C119="",AH$91="",AH$91&gt;c_RefDate),NA(),IF(ISNUMBER(INDEX(db_Vals,MATCH(AH$91,db_Dates,0),$B119)),INDEX(db_Vals,MATCH(AH$91,db_Dates,0),$B119),NA())),NA())</f>
        <v>#N/A</v>
      </c>
      <c r="AI119" t="e">
        <f>IFERROR(IF(OR($C119="",AI$91="",AI$91&gt;c_RefDate),NA(),IF(ISNUMBER(INDEX(db_Vals,MATCH(AI$91,db_Dates,0),$B119)),INDEX(db_Vals,MATCH(AI$91,db_Dates,0),$B119),NA())),NA())</f>
        <v>#N/A</v>
      </c>
      <c r="AJ119" t="e">
        <f>IFERROR(IF(OR($C119="",AJ$91="",AJ$91&gt;c_RefDate),NA(),IF(ISNUMBER(INDEX(db_Vals,MATCH(AJ$91,db_Dates,0),$B119)),INDEX(db_Vals,MATCH(AJ$91,db_Dates,0),$B119),NA())),NA())</f>
        <v>#N/A</v>
      </c>
      <c r="AK119" t="e">
        <f>IFERROR(IF(OR($C119="",AK$91="",AK$91&gt;c_RefDate),NA(),IF(ISNUMBER(INDEX(db_Vals,MATCH(AK$91,db_Dates,0),$B119)),INDEX(db_Vals,MATCH(AK$91,db_Dates,0),$B119),NA())),NA())</f>
        <v>#N/A</v>
      </c>
      <c r="AL119" t="e">
        <f>IFERROR(IF(OR($C119="",AL$91="",AL$91&gt;c_RefDate),NA(),IF(ISNUMBER(INDEX(db_Vals,MATCH(AL$91,db_Dates,0),$B119)),INDEX(db_Vals,MATCH(AL$91,db_Dates,0),$B119),NA())),NA())</f>
        <v>#N/A</v>
      </c>
      <c r="AM119" t="e">
        <f>IFERROR(IF(OR($C119="",AM$91="",AM$91&gt;c_RefDate),NA(),IF(ISNUMBER(INDEX(db_Vals,MATCH(AM$91,db_Dates,0),$B119)),INDEX(db_Vals,MATCH(AM$91,db_Dates,0),$B119),NA())),NA())</f>
        <v>#N/A</v>
      </c>
      <c r="AN119" t="e">
        <f>IFERROR(IF(OR($C119="",AN$91="",AN$91&gt;c_RefDate),NA(),IF(ISNUMBER(INDEX(db_Vals,MATCH(AN$91,db_Dates,0),$B119)),INDEX(db_Vals,MATCH(AN$91,db_Dates,0),$B119),NA())),NA())</f>
        <v>#N/A</v>
      </c>
      <c r="AO119" t="e">
        <f>IFERROR(IF(OR($C119="",AO$91="",AO$91&gt;c_RefDate),NA(),IF(ISNUMBER(INDEX(db_Vals,MATCH(AO$91,db_Dates,0),$B119)),INDEX(db_Vals,MATCH(AO$91,db_Dates,0),$B119),NA())),NA())</f>
        <v>#N/A</v>
      </c>
      <c r="AP119" t="e">
        <f>IFERROR(IF(OR($C119="",AP$91="",AP$91&gt;c_RefDate),NA(),IF(ISNUMBER(INDEX(db_Vals,MATCH(AP$91,db_Dates,0),$B119)),INDEX(db_Vals,MATCH(AP$91,db_Dates,0),$B119),NA())),NA())</f>
        <v>#N/A</v>
      </c>
    </row>
    <row r="120" spans="1:42">
      <c r="A120">
        <v>29</v>
      </c>
      <c r="B120">
        <f>MATCH(LARGE($J$46:$J$85,$A120),$J$46:$J$85,0)</f>
        <v>29.0</v>
      </c>
      <c r="C120" t="str">
        <f>INDEX($B$46:$B$85,$B120)</f>
        <v/>
      </c>
      <c r="D120" t="str">
        <f>INDEX($E$46:$E$85,$B120)</f>
        <v/>
      </c>
      <c r="E120">
        <f>INDEX($I$46:$I$85,$B120)</f>
        <v>-1.0</v>
      </c>
      <c r="F120" t="str">
        <f>INDEX($H$46:$H$85,$B120)</f>
        <v/>
      </c>
      <c r="G120">
        <f>INDEX($K$46:$K$85,$B120)</f>
        <v>0.0</v>
      </c>
      <c r="H120" s="130">
        <f>INDEX($D$46:$D$85,$B120)</f>
        <v>0.0</v>
      </c>
      <c r="L120" t="e">
        <f>IFERROR(IF(OR($C120="",L$91="",L$91&gt;c_RefDate),NA(),IF(ISNUMBER(INDEX(db_Vals,MATCH(L$91,db_Dates,0),$B120)),INDEX(db_Vals,MATCH(L$91,db_Dates,0),$B120),NA())),NA())</f>
        <v>#N/A</v>
      </c>
      <c r="M120" t="e">
        <f>IFERROR(IF(OR($C120="",M$91="",M$91&gt;c_RefDate),NA(),IF(ISNUMBER(INDEX(db_Vals,MATCH(M$91,db_Dates,0),$B120)),INDEX(db_Vals,MATCH(M$91,db_Dates,0),$B120),NA())),NA())</f>
        <v>#N/A</v>
      </c>
      <c r="N120" t="e">
        <f>IFERROR(IF(OR($C120="",N$91="",N$91&gt;c_RefDate),NA(),IF(ISNUMBER(INDEX(db_Vals,MATCH(N$91,db_Dates,0),$B120)),INDEX(db_Vals,MATCH(N$91,db_Dates,0),$B120),NA())),NA())</f>
        <v>#N/A</v>
      </c>
      <c r="O120" t="e">
        <f>IFERROR(IF(OR($C120="",O$91="",O$91&gt;c_RefDate),NA(),IF(ISNUMBER(INDEX(db_Vals,MATCH(O$91,db_Dates,0),$B120)),INDEX(db_Vals,MATCH(O$91,db_Dates,0),$B120),NA())),NA())</f>
        <v>#N/A</v>
      </c>
      <c r="P120" t="e">
        <f>IFERROR(IF(OR($C120="",P$91="",P$91&gt;c_RefDate),NA(),IF(ISNUMBER(INDEX(db_Vals,MATCH(P$91,db_Dates,0),$B120)),INDEX(db_Vals,MATCH(P$91,db_Dates,0),$B120),NA())),NA())</f>
        <v>#N/A</v>
      </c>
      <c r="Q120" t="e">
        <f>IFERROR(IF(OR($C120="",Q$91="",Q$91&gt;c_RefDate),NA(),IF(ISNUMBER(INDEX(db_Vals,MATCH(Q$91,db_Dates,0),$B120)),INDEX(db_Vals,MATCH(Q$91,db_Dates,0),$B120),NA())),NA())</f>
        <v>#N/A</v>
      </c>
      <c r="R120" t="e">
        <f>IFERROR(IF(OR($C120="",R$91="",R$91&gt;c_RefDate),NA(),IF(ISNUMBER(INDEX(db_Vals,MATCH(R$91,db_Dates,0),$B120)),INDEX(db_Vals,MATCH(R$91,db_Dates,0),$B120),NA())),NA())</f>
        <v>#N/A</v>
      </c>
      <c r="S120" t="e">
        <f>IFERROR(IF(OR($C120="",S$91="",S$91&gt;c_RefDate),NA(),IF(ISNUMBER(INDEX(db_Vals,MATCH(S$91,db_Dates,0),$B120)),INDEX(db_Vals,MATCH(S$91,db_Dates,0),$B120),NA())),NA())</f>
        <v>#N/A</v>
      </c>
      <c r="T120" t="e">
        <f>IFERROR(IF(OR($C120="",T$91="",T$91&gt;c_RefDate),NA(),IF(ISNUMBER(INDEX(db_Vals,MATCH(T$91,db_Dates,0),$B120)),INDEX(db_Vals,MATCH(T$91,db_Dates,0),$B120),NA())),NA())</f>
        <v>#N/A</v>
      </c>
      <c r="U120" t="e">
        <f>IFERROR(IF(OR($C120="",U$91="",U$91&gt;c_RefDate),NA(),IF(ISNUMBER(INDEX(db_Vals,MATCH(U$91,db_Dates,0),$B120)),INDEX(db_Vals,MATCH(U$91,db_Dates,0),$B120),NA())),NA())</f>
        <v>#N/A</v>
      </c>
      <c r="V120" t="e">
        <f>IFERROR(IF(OR($C120="",V$91="",V$91&gt;c_RefDate),NA(),IF(ISNUMBER(INDEX(db_Vals,MATCH(V$91,db_Dates,0),$B120)),INDEX(db_Vals,MATCH(V$91,db_Dates,0),$B120),NA())),NA())</f>
        <v>#N/A</v>
      </c>
      <c r="W120" t="e">
        <f>IFERROR(IF(OR($C120="",W$91="",W$91&gt;c_RefDate),NA(),IF(ISNUMBER(INDEX(db_Vals,MATCH(W$91,db_Dates,0),$B120)),INDEX(db_Vals,MATCH(W$91,db_Dates,0),$B120),NA())),NA())</f>
        <v>#N/A</v>
      </c>
      <c r="X120" t="e">
        <f>IFERROR(IF(OR($C120="",X$91="",X$91&gt;c_RefDate),NA(),IF(ISNUMBER(INDEX(db_Vals,MATCH(X$91,db_Dates,0),$B120)),INDEX(db_Vals,MATCH(X$91,db_Dates,0),$B120),NA())),NA())</f>
        <v>#N/A</v>
      </c>
      <c r="Y120" t="e">
        <f>IFERROR(IF(OR($C120="",Y$91="",Y$91&gt;c_RefDate),NA(),IF(ISNUMBER(INDEX(db_Vals,MATCH(Y$91,db_Dates,0),$B120)),INDEX(db_Vals,MATCH(Y$91,db_Dates,0),$B120),NA())),NA())</f>
        <v>#N/A</v>
      </c>
      <c r="Z120" t="e">
        <f>IFERROR(IF(OR($C120="",Z$91="",Z$91&gt;c_RefDate),NA(),IF(ISNUMBER(INDEX(db_Vals,MATCH(Z$91,db_Dates,0),$B120)),INDEX(db_Vals,MATCH(Z$91,db_Dates,0),$B120),NA())),NA())</f>
        <v>#N/A</v>
      </c>
      <c r="AA120" t="e">
        <f>IFERROR(IF(OR($C120="",AA$91="",AA$91&gt;c_RefDate),NA(),IF(ISNUMBER(INDEX(db_Vals,MATCH(AA$91,db_Dates,0),$B120)),INDEX(db_Vals,MATCH(AA$91,db_Dates,0),$B120),NA())),NA())</f>
        <v>#N/A</v>
      </c>
      <c r="AB120" t="e">
        <f>IFERROR(IF(OR($C120="",AB$91="",AB$91&gt;c_RefDate),NA(),IF(ISNUMBER(INDEX(db_Vals,MATCH(AB$91,db_Dates,0),$B120)),INDEX(db_Vals,MATCH(AB$91,db_Dates,0),$B120),NA())),NA())</f>
        <v>#N/A</v>
      </c>
      <c r="AC120" t="e">
        <f>IFERROR(IF(OR($C120="",AC$91="",AC$91&gt;c_RefDate),NA(),IF(ISNUMBER(INDEX(db_Vals,MATCH(AC$91,db_Dates,0),$B120)),INDEX(db_Vals,MATCH(AC$91,db_Dates,0),$B120),NA())),NA())</f>
        <v>#N/A</v>
      </c>
      <c r="AD120" t="e">
        <f>IFERROR(IF(OR($C120="",AD$91="",AD$91&gt;c_RefDate),NA(),IF(ISNUMBER(INDEX(db_Vals,MATCH(AD$91,db_Dates,0),$B120)),INDEX(db_Vals,MATCH(AD$91,db_Dates,0),$B120),NA())),NA())</f>
        <v>#N/A</v>
      </c>
      <c r="AE120" t="e">
        <f>IFERROR(IF(OR($C120="",AE$91="",AE$91&gt;c_RefDate),NA(),IF(ISNUMBER(INDEX(db_Vals,MATCH(AE$91,db_Dates,0),$B120)),INDEX(db_Vals,MATCH(AE$91,db_Dates,0),$B120),NA())),NA())</f>
        <v>#N/A</v>
      </c>
      <c r="AF120" t="e">
        <f>IFERROR(IF(OR($C120="",AF$91="",AF$91&gt;c_RefDate),NA(),IF(ISNUMBER(INDEX(db_Vals,MATCH(AF$91,db_Dates,0),$B120)),INDEX(db_Vals,MATCH(AF$91,db_Dates,0),$B120),NA())),NA())</f>
        <v>#N/A</v>
      </c>
      <c r="AG120" t="e">
        <f>IFERROR(IF(OR($C120="",AG$91="",AG$91&gt;c_RefDate),NA(),IF(ISNUMBER(INDEX(db_Vals,MATCH(AG$91,db_Dates,0),$B120)),INDEX(db_Vals,MATCH(AG$91,db_Dates,0),$B120),NA())),NA())</f>
        <v>#N/A</v>
      </c>
      <c r="AH120" t="e">
        <f>IFERROR(IF(OR($C120="",AH$91="",AH$91&gt;c_RefDate),NA(),IF(ISNUMBER(INDEX(db_Vals,MATCH(AH$91,db_Dates,0),$B120)),INDEX(db_Vals,MATCH(AH$91,db_Dates,0),$B120),NA())),NA())</f>
        <v>#N/A</v>
      </c>
      <c r="AI120" t="e">
        <f>IFERROR(IF(OR($C120="",AI$91="",AI$91&gt;c_RefDate),NA(),IF(ISNUMBER(INDEX(db_Vals,MATCH(AI$91,db_Dates,0),$B120)),INDEX(db_Vals,MATCH(AI$91,db_Dates,0),$B120),NA())),NA())</f>
        <v>#N/A</v>
      </c>
      <c r="AJ120" t="e">
        <f>IFERROR(IF(OR($C120="",AJ$91="",AJ$91&gt;c_RefDate),NA(),IF(ISNUMBER(INDEX(db_Vals,MATCH(AJ$91,db_Dates,0),$B120)),INDEX(db_Vals,MATCH(AJ$91,db_Dates,0),$B120),NA())),NA())</f>
        <v>#N/A</v>
      </c>
      <c r="AK120" t="e">
        <f>IFERROR(IF(OR($C120="",AK$91="",AK$91&gt;c_RefDate),NA(),IF(ISNUMBER(INDEX(db_Vals,MATCH(AK$91,db_Dates,0),$B120)),INDEX(db_Vals,MATCH(AK$91,db_Dates,0),$B120),NA())),NA())</f>
        <v>#N/A</v>
      </c>
      <c r="AL120" t="e">
        <f>IFERROR(IF(OR($C120="",AL$91="",AL$91&gt;c_RefDate),NA(),IF(ISNUMBER(INDEX(db_Vals,MATCH(AL$91,db_Dates,0),$B120)),INDEX(db_Vals,MATCH(AL$91,db_Dates,0),$B120),NA())),NA())</f>
        <v>#N/A</v>
      </c>
      <c r="AM120" t="e">
        <f>IFERROR(IF(OR($C120="",AM$91="",AM$91&gt;c_RefDate),NA(),IF(ISNUMBER(INDEX(db_Vals,MATCH(AM$91,db_Dates,0),$B120)),INDEX(db_Vals,MATCH(AM$91,db_Dates,0),$B120),NA())),NA())</f>
        <v>#N/A</v>
      </c>
      <c r="AN120" t="e">
        <f>IFERROR(IF(OR($C120="",AN$91="",AN$91&gt;c_RefDate),NA(),IF(ISNUMBER(INDEX(db_Vals,MATCH(AN$91,db_Dates,0),$B120)),INDEX(db_Vals,MATCH(AN$91,db_Dates,0),$B120),NA())),NA())</f>
        <v>#N/A</v>
      </c>
      <c r="AO120" t="e">
        <f>IFERROR(IF(OR($C120="",AO$91="",AO$91&gt;c_RefDate),NA(),IF(ISNUMBER(INDEX(db_Vals,MATCH(AO$91,db_Dates,0),$B120)),INDEX(db_Vals,MATCH(AO$91,db_Dates,0),$B120),NA())),NA())</f>
        <v>#N/A</v>
      </c>
      <c r="AP120" t="e">
        <f>IFERROR(IF(OR($C120="",AP$91="",AP$91&gt;c_RefDate),NA(),IF(ISNUMBER(INDEX(db_Vals,MATCH(AP$91,db_Dates,0),$B120)),INDEX(db_Vals,MATCH(AP$91,db_Dates,0),$B120),NA())),NA())</f>
        <v>#N/A</v>
      </c>
    </row>
    <row r="121" spans="1:42">
      <c r="A121">
        <v>30</v>
      </c>
      <c r="B121">
        <f>MATCH(LARGE($J$46:$J$85,$A121),$J$46:$J$85,0)</f>
        <v>30.0</v>
      </c>
      <c r="C121" t="str">
        <f>INDEX($B$46:$B$85,$B121)</f>
        <v/>
      </c>
      <c r="D121" t="str">
        <f>INDEX($E$46:$E$85,$B121)</f>
        <v/>
      </c>
      <c r="E121">
        <f>INDEX($I$46:$I$85,$B121)</f>
        <v>-1.0</v>
      </c>
      <c r="F121" t="str">
        <f>INDEX($H$46:$H$85,$B121)</f>
        <v/>
      </c>
      <c r="G121">
        <f>INDEX($K$46:$K$85,$B121)</f>
        <v>0.0</v>
      </c>
      <c r="H121" s="130">
        <f>INDEX($D$46:$D$85,$B121)</f>
        <v>0.0</v>
      </c>
      <c r="L121" t="e">
        <f>IFERROR(IF(OR($C121="",L$91="",L$91&gt;c_RefDate),NA(),IF(ISNUMBER(INDEX(db_Vals,MATCH(L$91,db_Dates,0),$B121)),INDEX(db_Vals,MATCH(L$91,db_Dates,0),$B121),NA())),NA())</f>
        <v>#N/A</v>
      </c>
      <c r="M121" t="e">
        <f>IFERROR(IF(OR($C121="",M$91="",M$91&gt;c_RefDate),NA(),IF(ISNUMBER(INDEX(db_Vals,MATCH(M$91,db_Dates,0),$B121)),INDEX(db_Vals,MATCH(M$91,db_Dates,0),$B121),NA())),NA())</f>
        <v>#N/A</v>
      </c>
      <c r="N121" t="e">
        <f>IFERROR(IF(OR($C121="",N$91="",N$91&gt;c_RefDate),NA(),IF(ISNUMBER(INDEX(db_Vals,MATCH(N$91,db_Dates,0),$B121)),INDEX(db_Vals,MATCH(N$91,db_Dates,0),$B121),NA())),NA())</f>
        <v>#N/A</v>
      </c>
      <c r="O121" t="e">
        <f>IFERROR(IF(OR($C121="",O$91="",O$91&gt;c_RefDate),NA(),IF(ISNUMBER(INDEX(db_Vals,MATCH(O$91,db_Dates,0),$B121)),INDEX(db_Vals,MATCH(O$91,db_Dates,0),$B121),NA())),NA())</f>
        <v>#N/A</v>
      </c>
      <c r="P121" t="e">
        <f>IFERROR(IF(OR($C121="",P$91="",P$91&gt;c_RefDate),NA(),IF(ISNUMBER(INDEX(db_Vals,MATCH(P$91,db_Dates,0),$B121)),INDEX(db_Vals,MATCH(P$91,db_Dates,0),$B121),NA())),NA())</f>
        <v>#N/A</v>
      </c>
      <c r="Q121" t="e">
        <f>IFERROR(IF(OR($C121="",Q$91="",Q$91&gt;c_RefDate),NA(),IF(ISNUMBER(INDEX(db_Vals,MATCH(Q$91,db_Dates,0),$B121)),INDEX(db_Vals,MATCH(Q$91,db_Dates,0),$B121),NA())),NA())</f>
        <v>#N/A</v>
      </c>
      <c r="R121" t="e">
        <f>IFERROR(IF(OR($C121="",R$91="",R$91&gt;c_RefDate),NA(),IF(ISNUMBER(INDEX(db_Vals,MATCH(R$91,db_Dates,0),$B121)),INDEX(db_Vals,MATCH(R$91,db_Dates,0),$B121),NA())),NA())</f>
        <v>#N/A</v>
      </c>
      <c r="S121" t="e">
        <f>IFERROR(IF(OR($C121="",S$91="",S$91&gt;c_RefDate),NA(),IF(ISNUMBER(INDEX(db_Vals,MATCH(S$91,db_Dates,0),$B121)),INDEX(db_Vals,MATCH(S$91,db_Dates,0),$B121),NA())),NA())</f>
        <v>#N/A</v>
      </c>
      <c r="T121" t="e">
        <f>IFERROR(IF(OR($C121="",T$91="",T$91&gt;c_RefDate),NA(),IF(ISNUMBER(INDEX(db_Vals,MATCH(T$91,db_Dates,0),$B121)),INDEX(db_Vals,MATCH(T$91,db_Dates,0),$B121),NA())),NA())</f>
        <v>#N/A</v>
      </c>
      <c r="U121" t="e">
        <f>IFERROR(IF(OR($C121="",U$91="",U$91&gt;c_RefDate),NA(),IF(ISNUMBER(INDEX(db_Vals,MATCH(U$91,db_Dates,0),$B121)),INDEX(db_Vals,MATCH(U$91,db_Dates,0),$B121),NA())),NA())</f>
        <v>#N/A</v>
      </c>
      <c r="V121" t="e">
        <f>IFERROR(IF(OR($C121="",V$91="",V$91&gt;c_RefDate),NA(),IF(ISNUMBER(INDEX(db_Vals,MATCH(V$91,db_Dates,0),$B121)),INDEX(db_Vals,MATCH(V$91,db_Dates,0),$B121),NA())),NA())</f>
        <v>#N/A</v>
      </c>
      <c r="W121" t="e">
        <f>IFERROR(IF(OR($C121="",W$91="",W$91&gt;c_RefDate),NA(),IF(ISNUMBER(INDEX(db_Vals,MATCH(W$91,db_Dates,0),$B121)),INDEX(db_Vals,MATCH(W$91,db_Dates,0),$B121),NA())),NA())</f>
        <v>#N/A</v>
      </c>
      <c r="X121" t="e">
        <f>IFERROR(IF(OR($C121="",X$91="",X$91&gt;c_RefDate),NA(),IF(ISNUMBER(INDEX(db_Vals,MATCH(X$91,db_Dates,0),$B121)),INDEX(db_Vals,MATCH(X$91,db_Dates,0),$B121),NA())),NA())</f>
        <v>#N/A</v>
      </c>
      <c r="Y121" t="e">
        <f>IFERROR(IF(OR($C121="",Y$91="",Y$91&gt;c_RefDate),NA(),IF(ISNUMBER(INDEX(db_Vals,MATCH(Y$91,db_Dates,0),$B121)),INDEX(db_Vals,MATCH(Y$91,db_Dates,0),$B121),NA())),NA())</f>
        <v>#N/A</v>
      </c>
      <c r="Z121" t="e">
        <f>IFERROR(IF(OR($C121="",Z$91="",Z$91&gt;c_RefDate),NA(),IF(ISNUMBER(INDEX(db_Vals,MATCH(Z$91,db_Dates,0),$B121)),INDEX(db_Vals,MATCH(Z$91,db_Dates,0),$B121),NA())),NA())</f>
        <v>#N/A</v>
      </c>
      <c r="AA121" t="e">
        <f>IFERROR(IF(OR($C121="",AA$91="",AA$91&gt;c_RefDate),NA(),IF(ISNUMBER(INDEX(db_Vals,MATCH(AA$91,db_Dates,0),$B121)),INDEX(db_Vals,MATCH(AA$91,db_Dates,0),$B121),NA())),NA())</f>
        <v>#N/A</v>
      </c>
      <c r="AB121" t="e">
        <f>IFERROR(IF(OR($C121="",AB$91="",AB$91&gt;c_RefDate),NA(),IF(ISNUMBER(INDEX(db_Vals,MATCH(AB$91,db_Dates,0),$B121)),INDEX(db_Vals,MATCH(AB$91,db_Dates,0),$B121),NA())),NA())</f>
        <v>#N/A</v>
      </c>
      <c r="AC121" t="e">
        <f>IFERROR(IF(OR($C121="",AC$91="",AC$91&gt;c_RefDate),NA(),IF(ISNUMBER(INDEX(db_Vals,MATCH(AC$91,db_Dates,0),$B121)),INDEX(db_Vals,MATCH(AC$91,db_Dates,0),$B121),NA())),NA())</f>
        <v>#N/A</v>
      </c>
      <c r="AD121" t="e">
        <f>IFERROR(IF(OR($C121="",AD$91="",AD$91&gt;c_RefDate),NA(),IF(ISNUMBER(INDEX(db_Vals,MATCH(AD$91,db_Dates,0),$B121)),INDEX(db_Vals,MATCH(AD$91,db_Dates,0),$B121),NA())),NA())</f>
        <v>#N/A</v>
      </c>
      <c r="AE121" t="e">
        <f>IFERROR(IF(OR($C121="",AE$91="",AE$91&gt;c_RefDate),NA(),IF(ISNUMBER(INDEX(db_Vals,MATCH(AE$91,db_Dates,0),$B121)),INDEX(db_Vals,MATCH(AE$91,db_Dates,0),$B121),NA())),NA())</f>
        <v>#N/A</v>
      </c>
      <c r="AF121" t="e">
        <f>IFERROR(IF(OR($C121="",AF$91="",AF$91&gt;c_RefDate),NA(),IF(ISNUMBER(INDEX(db_Vals,MATCH(AF$91,db_Dates,0),$B121)),INDEX(db_Vals,MATCH(AF$91,db_Dates,0),$B121),NA())),NA())</f>
        <v>#N/A</v>
      </c>
      <c r="AG121" t="e">
        <f>IFERROR(IF(OR($C121="",AG$91="",AG$91&gt;c_RefDate),NA(),IF(ISNUMBER(INDEX(db_Vals,MATCH(AG$91,db_Dates,0),$B121)),INDEX(db_Vals,MATCH(AG$91,db_Dates,0),$B121),NA())),NA())</f>
        <v>#N/A</v>
      </c>
      <c r="AH121" t="e">
        <f>IFERROR(IF(OR($C121="",AH$91="",AH$91&gt;c_RefDate),NA(),IF(ISNUMBER(INDEX(db_Vals,MATCH(AH$91,db_Dates,0),$B121)),INDEX(db_Vals,MATCH(AH$91,db_Dates,0),$B121),NA())),NA())</f>
        <v>#N/A</v>
      </c>
      <c r="AI121" t="e">
        <f>IFERROR(IF(OR($C121="",AI$91="",AI$91&gt;c_RefDate),NA(),IF(ISNUMBER(INDEX(db_Vals,MATCH(AI$91,db_Dates,0),$B121)),INDEX(db_Vals,MATCH(AI$91,db_Dates,0),$B121),NA())),NA())</f>
        <v>#N/A</v>
      </c>
      <c r="AJ121" t="e">
        <f>IFERROR(IF(OR($C121="",AJ$91="",AJ$91&gt;c_RefDate),NA(),IF(ISNUMBER(INDEX(db_Vals,MATCH(AJ$91,db_Dates,0),$B121)),INDEX(db_Vals,MATCH(AJ$91,db_Dates,0),$B121),NA())),NA())</f>
        <v>#N/A</v>
      </c>
      <c r="AK121" t="e">
        <f>IFERROR(IF(OR($C121="",AK$91="",AK$91&gt;c_RefDate),NA(),IF(ISNUMBER(INDEX(db_Vals,MATCH(AK$91,db_Dates,0),$B121)),INDEX(db_Vals,MATCH(AK$91,db_Dates,0),$B121),NA())),NA())</f>
        <v>#N/A</v>
      </c>
      <c r="AL121" t="e">
        <f>IFERROR(IF(OR($C121="",AL$91="",AL$91&gt;c_RefDate),NA(),IF(ISNUMBER(INDEX(db_Vals,MATCH(AL$91,db_Dates,0),$B121)),INDEX(db_Vals,MATCH(AL$91,db_Dates,0),$B121),NA())),NA())</f>
        <v>#N/A</v>
      </c>
      <c r="AM121" t="e">
        <f>IFERROR(IF(OR($C121="",AM$91="",AM$91&gt;c_RefDate),NA(),IF(ISNUMBER(INDEX(db_Vals,MATCH(AM$91,db_Dates,0),$B121)),INDEX(db_Vals,MATCH(AM$91,db_Dates,0),$B121),NA())),NA())</f>
        <v>#N/A</v>
      </c>
      <c r="AN121" t="e">
        <f>IFERROR(IF(OR($C121="",AN$91="",AN$91&gt;c_RefDate),NA(),IF(ISNUMBER(INDEX(db_Vals,MATCH(AN$91,db_Dates,0),$B121)),INDEX(db_Vals,MATCH(AN$91,db_Dates,0),$B121),NA())),NA())</f>
        <v>#N/A</v>
      </c>
      <c r="AO121" t="e">
        <f>IFERROR(IF(OR($C121="",AO$91="",AO$91&gt;c_RefDate),NA(),IF(ISNUMBER(INDEX(db_Vals,MATCH(AO$91,db_Dates,0),$B121)),INDEX(db_Vals,MATCH(AO$91,db_Dates,0),$B121),NA())),NA())</f>
        <v>#N/A</v>
      </c>
      <c r="AP121" t="e">
        <f>IFERROR(IF(OR($C121="",AP$91="",AP$91&gt;c_RefDate),NA(),IF(ISNUMBER(INDEX(db_Vals,MATCH(AP$91,db_Dates,0),$B121)),INDEX(db_Vals,MATCH(AP$91,db_Dates,0),$B121),NA())),NA())</f>
        <v>#N/A</v>
      </c>
    </row>
    <row r="122" spans="1:42">
      <c r="A122">
        <v>31</v>
      </c>
      <c r="B122">
        <f>MATCH(LARGE($J$46:$J$85,$A122),$J$46:$J$85,0)</f>
        <v>31.0</v>
      </c>
      <c r="C122" t="str">
        <f>INDEX($B$46:$B$85,$B122)</f>
        <v/>
      </c>
      <c r="D122" t="str">
        <f>INDEX($E$46:$E$85,$B122)</f>
        <v/>
      </c>
      <c r="E122">
        <f>INDEX($I$46:$I$85,$B122)</f>
        <v>-1.0</v>
      </c>
      <c r="F122" t="str">
        <f>INDEX($H$46:$H$85,$B122)</f>
        <v/>
      </c>
      <c r="G122">
        <f>INDEX($K$46:$K$85,$B122)</f>
        <v>0.0</v>
      </c>
      <c r="H122" s="130">
        <f>INDEX($D$46:$D$85,$B122)</f>
        <v>0.0</v>
      </c>
      <c r="L122" t="e">
        <f>IFERROR(IF(OR($C122="",L$91="",L$91&gt;c_RefDate),NA(),IF(ISNUMBER(INDEX(db_Vals,MATCH(L$91,db_Dates,0),$B122)),INDEX(db_Vals,MATCH(L$91,db_Dates,0),$B122),NA())),NA())</f>
        <v>#N/A</v>
      </c>
      <c r="M122" t="e">
        <f>IFERROR(IF(OR($C122="",M$91="",M$91&gt;c_RefDate),NA(),IF(ISNUMBER(INDEX(db_Vals,MATCH(M$91,db_Dates,0),$B122)),INDEX(db_Vals,MATCH(M$91,db_Dates,0),$B122),NA())),NA())</f>
        <v>#N/A</v>
      </c>
      <c r="N122" t="e">
        <f>IFERROR(IF(OR($C122="",N$91="",N$91&gt;c_RefDate),NA(),IF(ISNUMBER(INDEX(db_Vals,MATCH(N$91,db_Dates,0),$B122)),INDEX(db_Vals,MATCH(N$91,db_Dates,0),$B122),NA())),NA())</f>
        <v>#N/A</v>
      </c>
      <c r="O122" t="e">
        <f>IFERROR(IF(OR($C122="",O$91="",O$91&gt;c_RefDate),NA(),IF(ISNUMBER(INDEX(db_Vals,MATCH(O$91,db_Dates,0),$B122)),INDEX(db_Vals,MATCH(O$91,db_Dates,0),$B122),NA())),NA())</f>
        <v>#N/A</v>
      </c>
      <c r="P122" t="e">
        <f>IFERROR(IF(OR($C122="",P$91="",P$91&gt;c_RefDate),NA(),IF(ISNUMBER(INDEX(db_Vals,MATCH(P$91,db_Dates,0),$B122)),INDEX(db_Vals,MATCH(P$91,db_Dates,0),$B122),NA())),NA())</f>
        <v>#N/A</v>
      </c>
      <c r="Q122" t="e">
        <f>IFERROR(IF(OR($C122="",Q$91="",Q$91&gt;c_RefDate),NA(),IF(ISNUMBER(INDEX(db_Vals,MATCH(Q$91,db_Dates,0),$B122)),INDEX(db_Vals,MATCH(Q$91,db_Dates,0),$B122),NA())),NA())</f>
        <v>#N/A</v>
      </c>
      <c r="R122" t="e">
        <f>IFERROR(IF(OR($C122="",R$91="",R$91&gt;c_RefDate),NA(),IF(ISNUMBER(INDEX(db_Vals,MATCH(R$91,db_Dates,0),$B122)),INDEX(db_Vals,MATCH(R$91,db_Dates,0),$B122),NA())),NA())</f>
        <v>#N/A</v>
      </c>
      <c r="S122" t="e">
        <f>IFERROR(IF(OR($C122="",S$91="",S$91&gt;c_RefDate),NA(),IF(ISNUMBER(INDEX(db_Vals,MATCH(S$91,db_Dates,0),$B122)),INDEX(db_Vals,MATCH(S$91,db_Dates,0),$B122),NA())),NA())</f>
        <v>#N/A</v>
      </c>
      <c r="T122" t="e">
        <f>IFERROR(IF(OR($C122="",T$91="",T$91&gt;c_RefDate),NA(),IF(ISNUMBER(INDEX(db_Vals,MATCH(T$91,db_Dates,0),$B122)),INDEX(db_Vals,MATCH(T$91,db_Dates,0),$B122),NA())),NA())</f>
        <v>#N/A</v>
      </c>
      <c r="U122" t="e">
        <f>IFERROR(IF(OR($C122="",U$91="",U$91&gt;c_RefDate),NA(),IF(ISNUMBER(INDEX(db_Vals,MATCH(U$91,db_Dates,0),$B122)),INDEX(db_Vals,MATCH(U$91,db_Dates,0),$B122),NA())),NA())</f>
        <v>#N/A</v>
      </c>
      <c r="V122" t="e">
        <f>IFERROR(IF(OR($C122="",V$91="",V$91&gt;c_RefDate),NA(),IF(ISNUMBER(INDEX(db_Vals,MATCH(V$91,db_Dates,0),$B122)),INDEX(db_Vals,MATCH(V$91,db_Dates,0),$B122),NA())),NA())</f>
        <v>#N/A</v>
      </c>
      <c r="W122" t="e">
        <f>IFERROR(IF(OR($C122="",W$91="",W$91&gt;c_RefDate),NA(),IF(ISNUMBER(INDEX(db_Vals,MATCH(W$91,db_Dates,0),$B122)),INDEX(db_Vals,MATCH(W$91,db_Dates,0),$B122),NA())),NA())</f>
        <v>#N/A</v>
      </c>
      <c r="X122" t="e">
        <f>IFERROR(IF(OR($C122="",X$91="",X$91&gt;c_RefDate),NA(),IF(ISNUMBER(INDEX(db_Vals,MATCH(X$91,db_Dates,0),$B122)),INDEX(db_Vals,MATCH(X$91,db_Dates,0),$B122),NA())),NA())</f>
        <v>#N/A</v>
      </c>
      <c r="Y122" t="e">
        <f>IFERROR(IF(OR($C122="",Y$91="",Y$91&gt;c_RefDate),NA(),IF(ISNUMBER(INDEX(db_Vals,MATCH(Y$91,db_Dates,0),$B122)),INDEX(db_Vals,MATCH(Y$91,db_Dates,0),$B122),NA())),NA())</f>
        <v>#N/A</v>
      </c>
      <c r="Z122" t="e">
        <f>IFERROR(IF(OR($C122="",Z$91="",Z$91&gt;c_RefDate),NA(),IF(ISNUMBER(INDEX(db_Vals,MATCH(Z$91,db_Dates,0),$B122)),INDEX(db_Vals,MATCH(Z$91,db_Dates,0),$B122),NA())),NA())</f>
        <v>#N/A</v>
      </c>
      <c r="AA122" t="e">
        <f>IFERROR(IF(OR($C122="",AA$91="",AA$91&gt;c_RefDate),NA(),IF(ISNUMBER(INDEX(db_Vals,MATCH(AA$91,db_Dates,0),$B122)),INDEX(db_Vals,MATCH(AA$91,db_Dates,0),$B122),NA())),NA())</f>
        <v>#N/A</v>
      </c>
      <c r="AB122" t="e">
        <f>IFERROR(IF(OR($C122="",AB$91="",AB$91&gt;c_RefDate),NA(),IF(ISNUMBER(INDEX(db_Vals,MATCH(AB$91,db_Dates,0),$B122)),INDEX(db_Vals,MATCH(AB$91,db_Dates,0),$B122),NA())),NA())</f>
        <v>#N/A</v>
      </c>
      <c r="AC122" t="e">
        <f>IFERROR(IF(OR($C122="",AC$91="",AC$91&gt;c_RefDate),NA(),IF(ISNUMBER(INDEX(db_Vals,MATCH(AC$91,db_Dates,0),$B122)),INDEX(db_Vals,MATCH(AC$91,db_Dates,0),$B122),NA())),NA())</f>
        <v>#N/A</v>
      </c>
      <c r="AD122" t="e">
        <f>IFERROR(IF(OR($C122="",AD$91="",AD$91&gt;c_RefDate),NA(),IF(ISNUMBER(INDEX(db_Vals,MATCH(AD$91,db_Dates,0),$B122)),INDEX(db_Vals,MATCH(AD$91,db_Dates,0),$B122),NA())),NA())</f>
        <v>#N/A</v>
      </c>
      <c r="AE122" t="e">
        <f>IFERROR(IF(OR($C122="",AE$91="",AE$91&gt;c_RefDate),NA(),IF(ISNUMBER(INDEX(db_Vals,MATCH(AE$91,db_Dates,0),$B122)),INDEX(db_Vals,MATCH(AE$91,db_Dates,0),$B122),NA())),NA())</f>
        <v>#N/A</v>
      </c>
      <c r="AF122" t="e">
        <f>IFERROR(IF(OR($C122="",AF$91="",AF$91&gt;c_RefDate),NA(),IF(ISNUMBER(INDEX(db_Vals,MATCH(AF$91,db_Dates,0),$B122)),INDEX(db_Vals,MATCH(AF$91,db_Dates,0),$B122),NA())),NA())</f>
        <v>#N/A</v>
      </c>
      <c r="AG122" t="e">
        <f>IFERROR(IF(OR($C122="",AG$91="",AG$91&gt;c_RefDate),NA(),IF(ISNUMBER(INDEX(db_Vals,MATCH(AG$91,db_Dates,0),$B122)),INDEX(db_Vals,MATCH(AG$91,db_Dates,0),$B122),NA())),NA())</f>
        <v>#N/A</v>
      </c>
      <c r="AH122" t="e">
        <f>IFERROR(IF(OR($C122="",AH$91="",AH$91&gt;c_RefDate),NA(),IF(ISNUMBER(INDEX(db_Vals,MATCH(AH$91,db_Dates,0),$B122)),INDEX(db_Vals,MATCH(AH$91,db_Dates,0),$B122),NA())),NA())</f>
        <v>#N/A</v>
      </c>
      <c r="AI122" t="e">
        <f>IFERROR(IF(OR($C122="",AI$91="",AI$91&gt;c_RefDate),NA(),IF(ISNUMBER(INDEX(db_Vals,MATCH(AI$91,db_Dates,0),$B122)),INDEX(db_Vals,MATCH(AI$91,db_Dates,0),$B122),NA())),NA())</f>
        <v>#N/A</v>
      </c>
      <c r="AJ122" t="e">
        <f>IFERROR(IF(OR($C122="",AJ$91="",AJ$91&gt;c_RefDate),NA(),IF(ISNUMBER(INDEX(db_Vals,MATCH(AJ$91,db_Dates,0),$B122)),INDEX(db_Vals,MATCH(AJ$91,db_Dates,0),$B122),NA())),NA())</f>
        <v>#N/A</v>
      </c>
      <c r="AK122" t="e">
        <f>IFERROR(IF(OR($C122="",AK$91="",AK$91&gt;c_RefDate),NA(),IF(ISNUMBER(INDEX(db_Vals,MATCH(AK$91,db_Dates,0),$B122)),INDEX(db_Vals,MATCH(AK$91,db_Dates,0),$B122),NA())),NA())</f>
        <v>#N/A</v>
      </c>
      <c r="AL122" t="e">
        <f>IFERROR(IF(OR($C122="",AL$91="",AL$91&gt;c_RefDate),NA(),IF(ISNUMBER(INDEX(db_Vals,MATCH(AL$91,db_Dates,0),$B122)),INDEX(db_Vals,MATCH(AL$91,db_Dates,0),$B122),NA())),NA())</f>
        <v>#N/A</v>
      </c>
      <c r="AM122" t="e">
        <f>IFERROR(IF(OR($C122="",AM$91="",AM$91&gt;c_RefDate),NA(),IF(ISNUMBER(INDEX(db_Vals,MATCH(AM$91,db_Dates,0),$B122)),INDEX(db_Vals,MATCH(AM$91,db_Dates,0),$B122),NA())),NA())</f>
        <v>#N/A</v>
      </c>
      <c r="AN122" t="e">
        <f>IFERROR(IF(OR($C122="",AN$91="",AN$91&gt;c_RefDate),NA(),IF(ISNUMBER(INDEX(db_Vals,MATCH(AN$91,db_Dates,0),$B122)),INDEX(db_Vals,MATCH(AN$91,db_Dates,0),$B122),NA())),NA())</f>
        <v>#N/A</v>
      </c>
      <c r="AO122" t="e">
        <f>IFERROR(IF(OR($C122="",AO$91="",AO$91&gt;c_RefDate),NA(),IF(ISNUMBER(INDEX(db_Vals,MATCH(AO$91,db_Dates,0),$B122)),INDEX(db_Vals,MATCH(AO$91,db_Dates,0),$B122),NA())),NA())</f>
        <v>#N/A</v>
      </c>
      <c r="AP122" t="e">
        <f>IFERROR(IF(OR($C122="",AP$91="",AP$91&gt;c_RefDate),NA(),IF(ISNUMBER(INDEX(db_Vals,MATCH(AP$91,db_Dates,0),$B122)),INDEX(db_Vals,MATCH(AP$91,db_Dates,0),$B122),NA())),NA())</f>
        <v>#N/A</v>
      </c>
    </row>
    <row r="123" spans="1:42">
      <c r="A123">
        <v>32</v>
      </c>
      <c r="B123">
        <f>MATCH(LARGE($J$46:$J$85,$A123),$J$46:$J$85,0)</f>
        <v>32.0</v>
      </c>
      <c r="C123" t="str">
        <f>INDEX($B$46:$B$85,$B123)</f>
        <v/>
      </c>
      <c r="D123" t="str">
        <f>INDEX($E$46:$E$85,$B123)</f>
        <v/>
      </c>
      <c r="E123">
        <f>INDEX($I$46:$I$85,$B123)</f>
        <v>-1.0</v>
      </c>
      <c r="F123" t="str">
        <f>INDEX($H$46:$H$85,$B123)</f>
        <v/>
      </c>
      <c r="G123">
        <f>INDEX($K$46:$K$85,$B123)</f>
        <v>0.0</v>
      </c>
      <c r="H123" s="130">
        <f>INDEX($D$46:$D$85,$B123)</f>
        <v>0.0</v>
      </c>
      <c r="L123" t="e">
        <f>IFERROR(IF(OR($C123="",L$91="",L$91&gt;c_RefDate),NA(),IF(ISNUMBER(INDEX(db_Vals,MATCH(L$91,db_Dates,0),$B123)),INDEX(db_Vals,MATCH(L$91,db_Dates,0),$B123),NA())),NA())</f>
        <v>#N/A</v>
      </c>
      <c r="M123" t="e">
        <f>IFERROR(IF(OR($C123="",M$91="",M$91&gt;c_RefDate),NA(),IF(ISNUMBER(INDEX(db_Vals,MATCH(M$91,db_Dates,0),$B123)),INDEX(db_Vals,MATCH(M$91,db_Dates,0),$B123),NA())),NA())</f>
        <v>#N/A</v>
      </c>
      <c r="N123" t="e">
        <f>IFERROR(IF(OR($C123="",N$91="",N$91&gt;c_RefDate),NA(),IF(ISNUMBER(INDEX(db_Vals,MATCH(N$91,db_Dates,0),$B123)),INDEX(db_Vals,MATCH(N$91,db_Dates,0),$B123),NA())),NA())</f>
        <v>#N/A</v>
      </c>
      <c r="O123" t="e">
        <f>IFERROR(IF(OR($C123="",O$91="",O$91&gt;c_RefDate),NA(),IF(ISNUMBER(INDEX(db_Vals,MATCH(O$91,db_Dates,0),$B123)),INDEX(db_Vals,MATCH(O$91,db_Dates,0),$B123),NA())),NA())</f>
        <v>#N/A</v>
      </c>
      <c r="P123" t="e">
        <f>IFERROR(IF(OR($C123="",P$91="",P$91&gt;c_RefDate),NA(),IF(ISNUMBER(INDEX(db_Vals,MATCH(P$91,db_Dates,0),$B123)),INDEX(db_Vals,MATCH(P$91,db_Dates,0),$B123),NA())),NA())</f>
        <v>#N/A</v>
      </c>
      <c r="Q123" t="e">
        <f>IFERROR(IF(OR($C123="",Q$91="",Q$91&gt;c_RefDate),NA(),IF(ISNUMBER(INDEX(db_Vals,MATCH(Q$91,db_Dates,0),$B123)),INDEX(db_Vals,MATCH(Q$91,db_Dates,0),$B123),NA())),NA())</f>
        <v>#N/A</v>
      </c>
      <c r="R123" t="e">
        <f>IFERROR(IF(OR($C123="",R$91="",R$91&gt;c_RefDate),NA(),IF(ISNUMBER(INDEX(db_Vals,MATCH(R$91,db_Dates,0),$B123)),INDEX(db_Vals,MATCH(R$91,db_Dates,0),$B123),NA())),NA())</f>
        <v>#N/A</v>
      </c>
      <c r="S123" t="e">
        <f>IFERROR(IF(OR($C123="",S$91="",S$91&gt;c_RefDate),NA(),IF(ISNUMBER(INDEX(db_Vals,MATCH(S$91,db_Dates,0),$B123)),INDEX(db_Vals,MATCH(S$91,db_Dates,0),$B123),NA())),NA())</f>
        <v>#N/A</v>
      </c>
      <c r="T123" t="e">
        <f>IFERROR(IF(OR($C123="",T$91="",T$91&gt;c_RefDate),NA(),IF(ISNUMBER(INDEX(db_Vals,MATCH(T$91,db_Dates,0),$B123)),INDEX(db_Vals,MATCH(T$91,db_Dates,0),$B123),NA())),NA())</f>
        <v>#N/A</v>
      </c>
      <c r="U123" t="e">
        <f>IFERROR(IF(OR($C123="",U$91="",U$91&gt;c_RefDate),NA(),IF(ISNUMBER(INDEX(db_Vals,MATCH(U$91,db_Dates,0),$B123)),INDEX(db_Vals,MATCH(U$91,db_Dates,0),$B123),NA())),NA())</f>
        <v>#N/A</v>
      </c>
      <c r="V123" t="e">
        <f>IFERROR(IF(OR($C123="",V$91="",V$91&gt;c_RefDate),NA(),IF(ISNUMBER(INDEX(db_Vals,MATCH(V$91,db_Dates,0),$B123)),INDEX(db_Vals,MATCH(V$91,db_Dates,0),$B123),NA())),NA())</f>
        <v>#N/A</v>
      </c>
      <c r="W123" t="e">
        <f>IFERROR(IF(OR($C123="",W$91="",W$91&gt;c_RefDate),NA(),IF(ISNUMBER(INDEX(db_Vals,MATCH(W$91,db_Dates,0),$B123)),INDEX(db_Vals,MATCH(W$91,db_Dates,0),$B123),NA())),NA())</f>
        <v>#N/A</v>
      </c>
      <c r="X123" t="e">
        <f>IFERROR(IF(OR($C123="",X$91="",X$91&gt;c_RefDate),NA(),IF(ISNUMBER(INDEX(db_Vals,MATCH(X$91,db_Dates,0),$B123)),INDEX(db_Vals,MATCH(X$91,db_Dates,0),$B123),NA())),NA())</f>
        <v>#N/A</v>
      </c>
      <c r="Y123" t="e">
        <f>IFERROR(IF(OR($C123="",Y$91="",Y$91&gt;c_RefDate),NA(),IF(ISNUMBER(INDEX(db_Vals,MATCH(Y$91,db_Dates,0),$B123)),INDEX(db_Vals,MATCH(Y$91,db_Dates,0),$B123),NA())),NA())</f>
        <v>#N/A</v>
      </c>
      <c r="Z123" t="e">
        <f>IFERROR(IF(OR($C123="",Z$91="",Z$91&gt;c_RefDate),NA(),IF(ISNUMBER(INDEX(db_Vals,MATCH(Z$91,db_Dates,0),$B123)),INDEX(db_Vals,MATCH(Z$91,db_Dates,0),$B123),NA())),NA())</f>
        <v>#N/A</v>
      </c>
      <c r="AA123" t="e">
        <f>IFERROR(IF(OR($C123="",AA$91="",AA$91&gt;c_RefDate),NA(),IF(ISNUMBER(INDEX(db_Vals,MATCH(AA$91,db_Dates,0),$B123)),INDEX(db_Vals,MATCH(AA$91,db_Dates,0),$B123),NA())),NA())</f>
        <v>#N/A</v>
      </c>
      <c r="AB123" t="e">
        <f>IFERROR(IF(OR($C123="",AB$91="",AB$91&gt;c_RefDate),NA(),IF(ISNUMBER(INDEX(db_Vals,MATCH(AB$91,db_Dates,0),$B123)),INDEX(db_Vals,MATCH(AB$91,db_Dates,0),$B123),NA())),NA())</f>
        <v>#N/A</v>
      </c>
      <c r="AC123" t="e">
        <f>IFERROR(IF(OR($C123="",AC$91="",AC$91&gt;c_RefDate),NA(),IF(ISNUMBER(INDEX(db_Vals,MATCH(AC$91,db_Dates,0),$B123)),INDEX(db_Vals,MATCH(AC$91,db_Dates,0),$B123),NA())),NA())</f>
        <v>#N/A</v>
      </c>
      <c r="AD123" t="e">
        <f>IFERROR(IF(OR($C123="",AD$91="",AD$91&gt;c_RefDate),NA(),IF(ISNUMBER(INDEX(db_Vals,MATCH(AD$91,db_Dates,0),$B123)),INDEX(db_Vals,MATCH(AD$91,db_Dates,0),$B123),NA())),NA())</f>
        <v>#N/A</v>
      </c>
      <c r="AE123" t="e">
        <f>IFERROR(IF(OR($C123="",AE$91="",AE$91&gt;c_RefDate),NA(),IF(ISNUMBER(INDEX(db_Vals,MATCH(AE$91,db_Dates,0),$B123)),INDEX(db_Vals,MATCH(AE$91,db_Dates,0),$B123),NA())),NA())</f>
        <v>#N/A</v>
      </c>
      <c r="AF123" t="e">
        <f>IFERROR(IF(OR($C123="",AF$91="",AF$91&gt;c_RefDate),NA(),IF(ISNUMBER(INDEX(db_Vals,MATCH(AF$91,db_Dates,0),$B123)),INDEX(db_Vals,MATCH(AF$91,db_Dates,0),$B123),NA())),NA())</f>
        <v>#N/A</v>
      </c>
      <c r="AG123" t="e">
        <f>IFERROR(IF(OR($C123="",AG$91="",AG$91&gt;c_RefDate),NA(),IF(ISNUMBER(INDEX(db_Vals,MATCH(AG$91,db_Dates,0),$B123)),INDEX(db_Vals,MATCH(AG$91,db_Dates,0),$B123),NA())),NA())</f>
        <v>#N/A</v>
      </c>
      <c r="AH123" t="e">
        <f>IFERROR(IF(OR($C123="",AH$91="",AH$91&gt;c_RefDate),NA(),IF(ISNUMBER(INDEX(db_Vals,MATCH(AH$91,db_Dates,0),$B123)),INDEX(db_Vals,MATCH(AH$91,db_Dates,0),$B123),NA())),NA())</f>
        <v>#N/A</v>
      </c>
      <c r="AI123" t="e">
        <f>IFERROR(IF(OR($C123="",AI$91="",AI$91&gt;c_RefDate),NA(),IF(ISNUMBER(INDEX(db_Vals,MATCH(AI$91,db_Dates,0),$B123)),INDEX(db_Vals,MATCH(AI$91,db_Dates,0),$B123),NA())),NA())</f>
        <v>#N/A</v>
      </c>
      <c r="AJ123" t="e">
        <f>IFERROR(IF(OR($C123="",AJ$91="",AJ$91&gt;c_RefDate),NA(),IF(ISNUMBER(INDEX(db_Vals,MATCH(AJ$91,db_Dates,0),$B123)),INDEX(db_Vals,MATCH(AJ$91,db_Dates,0),$B123),NA())),NA())</f>
        <v>#N/A</v>
      </c>
      <c r="AK123" t="e">
        <f>IFERROR(IF(OR($C123="",AK$91="",AK$91&gt;c_RefDate),NA(),IF(ISNUMBER(INDEX(db_Vals,MATCH(AK$91,db_Dates,0),$B123)),INDEX(db_Vals,MATCH(AK$91,db_Dates,0),$B123),NA())),NA())</f>
        <v>#N/A</v>
      </c>
      <c r="AL123" t="e">
        <f>IFERROR(IF(OR($C123="",AL$91="",AL$91&gt;c_RefDate),NA(),IF(ISNUMBER(INDEX(db_Vals,MATCH(AL$91,db_Dates,0),$B123)),INDEX(db_Vals,MATCH(AL$91,db_Dates,0),$B123),NA())),NA())</f>
        <v>#N/A</v>
      </c>
      <c r="AM123" t="e">
        <f>IFERROR(IF(OR($C123="",AM$91="",AM$91&gt;c_RefDate),NA(),IF(ISNUMBER(INDEX(db_Vals,MATCH(AM$91,db_Dates,0),$B123)),INDEX(db_Vals,MATCH(AM$91,db_Dates,0),$B123),NA())),NA())</f>
        <v>#N/A</v>
      </c>
      <c r="AN123" t="e">
        <f>IFERROR(IF(OR($C123="",AN$91="",AN$91&gt;c_RefDate),NA(),IF(ISNUMBER(INDEX(db_Vals,MATCH(AN$91,db_Dates,0),$B123)),INDEX(db_Vals,MATCH(AN$91,db_Dates,0),$B123),NA())),NA())</f>
        <v>#N/A</v>
      </c>
      <c r="AO123" t="e">
        <f>IFERROR(IF(OR($C123="",AO$91="",AO$91&gt;c_RefDate),NA(),IF(ISNUMBER(INDEX(db_Vals,MATCH(AO$91,db_Dates,0),$B123)),INDEX(db_Vals,MATCH(AO$91,db_Dates,0),$B123),NA())),NA())</f>
        <v>#N/A</v>
      </c>
      <c r="AP123" t="e">
        <f>IFERROR(IF(OR($C123="",AP$91="",AP$91&gt;c_RefDate),NA(),IF(ISNUMBER(INDEX(db_Vals,MATCH(AP$91,db_Dates,0),$B123)),INDEX(db_Vals,MATCH(AP$91,db_Dates,0),$B123),NA())),NA())</f>
        <v>#N/A</v>
      </c>
    </row>
    <row r="124" spans="1:42">
      <c r="A124">
        <v>33</v>
      </c>
      <c r="B124">
        <f>MATCH(LARGE($J$46:$J$85,$A124),$J$46:$J$85,0)</f>
        <v>33.0</v>
      </c>
      <c r="C124" t="str">
        <f>INDEX($B$46:$B$85,$B124)</f>
        <v/>
      </c>
      <c r="D124" t="str">
        <f>INDEX($E$46:$E$85,$B124)</f>
        <v/>
      </c>
      <c r="E124">
        <f>INDEX($I$46:$I$85,$B124)</f>
        <v>-1.0</v>
      </c>
      <c r="F124" t="str">
        <f>INDEX($H$46:$H$85,$B124)</f>
        <v/>
      </c>
      <c r="G124">
        <f>INDEX($K$46:$K$85,$B124)</f>
        <v>0.0</v>
      </c>
      <c r="H124" s="130">
        <f>INDEX($D$46:$D$85,$B124)</f>
        <v>0.0</v>
      </c>
      <c r="L124" t="e">
        <f>IFERROR(IF(OR($C124="",L$91="",L$91&gt;c_RefDate),NA(),IF(ISNUMBER(INDEX(db_Vals,MATCH(L$91,db_Dates,0),$B124)),INDEX(db_Vals,MATCH(L$91,db_Dates,0),$B124),NA())),NA())</f>
        <v>#N/A</v>
      </c>
      <c r="M124" t="e">
        <f>IFERROR(IF(OR($C124="",M$91="",M$91&gt;c_RefDate),NA(),IF(ISNUMBER(INDEX(db_Vals,MATCH(M$91,db_Dates,0),$B124)),INDEX(db_Vals,MATCH(M$91,db_Dates,0),$B124),NA())),NA())</f>
        <v>#N/A</v>
      </c>
      <c r="N124" t="e">
        <f>IFERROR(IF(OR($C124="",N$91="",N$91&gt;c_RefDate),NA(),IF(ISNUMBER(INDEX(db_Vals,MATCH(N$91,db_Dates,0),$B124)),INDEX(db_Vals,MATCH(N$91,db_Dates,0),$B124),NA())),NA())</f>
        <v>#N/A</v>
      </c>
      <c r="O124" t="e">
        <f>IFERROR(IF(OR($C124="",O$91="",O$91&gt;c_RefDate),NA(),IF(ISNUMBER(INDEX(db_Vals,MATCH(O$91,db_Dates,0),$B124)),INDEX(db_Vals,MATCH(O$91,db_Dates,0),$B124),NA())),NA())</f>
        <v>#N/A</v>
      </c>
      <c r="P124" t="e">
        <f>IFERROR(IF(OR($C124="",P$91="",P$91&gt;c_RefDate),NA(),IF(ISNUMBER(INDEX(db_Vals,MATCH(P$91,db_Dates,0),$B124)),INDEX(db_Vals,MATCH(P$91,db_Dates,0),$B124),NA())),NA())</f>
        <v>#N/A</v>
      </c>
      <c r="Q124" t="e">
        <f>IFERROR(IF(OR($C124="",Q$91="",Q$91&gt;c_RefDate),NA(),IF(ISNUMBER(INDEX(db_Vals,MATCH(Q$91,db_Dates,0),$B124)),INDEX(db_Vals,MATCH(Q$91,db_Dates,0),$B124),NA())),NA())</f>
        <v>#N/A</v>
      </c>
      <c r="R124" t="e">
        <f>IFERROR(IF(OR($C124="",R$91="",R$91&gt;c_RefDate),NA(),IF(ISNUMBER(INDEX(db_Vals,MATCH(R$91,db_Dates,0),$B124)),INDEX(db_Vals,MATCH(R$91,db_Dates,0),$B124),NA())),NA())</f>
        <v>#N/A</v>
      </c>
      <c r="S124" t="e">
        <f>IFERROR(IF(OR($C124="",S$91="",S$91&gt;c_RefDate),NA(),IF(ISNUMBER(INDEX(db_Vals,MATCH(S$91,db_Dates,0),$B124)),INDEX(db_Vals,MATCH(S$91,db_Dates,0),$B124),NA())),NA())</f>
        <v>#N/A</v>
      </c>
      <c r="T124" t="e">
        <f>IFERROR(IF(OR($C124="",T$91="",T$91&gt;c_RefDate),NA(),IF(ISNUMBER(INDEX(db_Vals,MATCH(T$91,db_Dates,0),$B124)),INDEX(db_Vals,MATCH(T$91,db_Dates,0),$B124),NA())),NA())</f>
        <v>#N/A</v>
      </c>
      <c r="U124" t="e">
        <f>IFERROR(IF(OR($C124="",U$91="",U$91&gt;c_RefDate),NA(),IF(ISNUMBER(INDEX(db_Vals,MATCH(U$91,db_Dates,0),$B124)),INDEX(db_Vals,MATCH(U$91,db_Dates,0),$B124),NA())),NA())</f>
        <v>#N/A</v>
      </c>
      <c r="V124" t="e">
        <f>IFERROR(IF(OR($C124="",V$91="",V$91&gt;c_RefDate),NA(),IF(ISNUMBER(INDEX(db_Vals,MATCH(V$91,db_Dates,0),$B124)),INDEX(db_Vals,MATCH(V$91,db_Dates,0),$B124),NA())),NA())</f>
        <v>#N/A</v>
      </c>
      <c r="W124" t="e">
        <f>IFERROR(IF(OR($C124="",W$91="",W$91&gt;c_RefDate),NA(),IF(ISNUMBER(INDEX(db_Vals,MATCH(W$91,db_Dates,0),$B124)),INDEX(db_Vals,MATCH(W$91,db_Dates,0),$B124),NA())),NA())</f>
        <v>#N/A</v>
      </c>
      <c r="X124" t="e">
        <f>IFERROR(IF(OR($C124="",X$91="",X$91&gt;c_RefDate),NA(),IF(ISNUMBER(INDEX(db_Vals,MATCH(X$91,db_Dates,0),$B124)),INDEX(db_Vals,MATCH(X$91,db_Dates,0),$B124),NA())),NA())</f>
        <v>#N/A</v>
      </c>
      <c r="Y124" t="e">
        <f>IFERROR(IF(OR($C124="",Y$91="",Y$91&gt;c_RefDate),NA(),IF(ISNUMBER(INDEX(db_Vals,MATCH(Y$91,db_Dates,0),$B124)),INDEX(db_Vals,MATCH(Y$91,db_Dates,0),$B124),NA())),NA())</f>
        <v>#N/A</v>
      </c>
      <c r="Z124" t="e">
        <f>IFERROR(IF(OR($C124="",Z$91="",Z$91&gt;c_RefDate),NA(),IF(ISNUMBER(INDEX(db_Vals,MATCH(Z$91,db_Dates,0),$B124)),INDEX(db_Vals,MATCH(Z$91,db_Dates,0),$B124),NA())),NA())</f>
        <v>#N/A</v>
      </c>
      <c r="AA124" t="e">
        <f>IFERROR(IF(OR($C124="",AA$91="",AA$91&gt;c_RefDate),NA(),IF(ISNUMBER(INDEX(db_Vals,MATCH(AA$91,db_Dates,0),$B124)),INDEX(db_Vals,MATCH(AA$91,db_Dates,0),$B124),NA())),NA())</f>
        <v>#N/A</v>
      </c>
      <c r="AB124" t="e">
        <f>IFERROR(IF(OR($C124="",AB$91="",AB$91&gt;c_RefDate),NA(),IF(ISNUMBER(INDEX(db_Vals,MATCH(AB$91,db_Dates,0),$B124)),INDEX(db_Vals,MATCH(AB$91,db_Dates,0),$B124),NA())),NA())</f>
        <v>#N/A</v>
      </c>
      <c r="AC124" t="e">
        <f>IFERROR(IF(OR($C124="",AC$91="",AC$91&gt;c_RefDate),NA(),IF(ISNUMBER(INDEX(db_Vals,MATCH(AC$91,db_Dates,0),$B124)),INDEX(db_Vals,MATCH(AC$91,db_Dates,0),$B124),NA())),NA())</f>
        <v>#N/A</v>
      </c>
      <c r="AD124" t="e">
        <f>IFERROR(IF(OR($C124="",AD$91="",AD$91&gt;c_RefDate),NA(),IF(ISNUMBER(INDEX(db_Vals,MATCH(AD$91,db_Dates,0),$B124)),INDEX(db_Vals,MATCH(AD$91,db_Dates,0),$B124),NA())),NA())</f>
        <v>#N/A</v>
      </c>
      <c r="AE124" t="e">
        <f>IFERROR(IF(OR($C124="",AE$91="",AE$91&gt;c_RefDate),NA(),IF(ISNUMBER(INDEX(db_Vals,MATCH(AE$91,db_Dates,0),$B124)),INDEX(db_Vals,MATCH(AE$91,db_Dates,0),$B124),NA())),NA())</f>
        <v>#N/A</v>
      </c>
      <c r="AF124" t="e">
        <f>IFERROR(IF(OR($C124="",AF$91="",AF$91&gt;c_RefDate),NA(),IF(ISNUMBER(INDEX(db_Vals,MATCH(AF$91,db_Dates,0),$B124)),INDEX(db_Vals,MATCH(AF$91,db_Dates,0),$B124),NA())),NA())</f>
        <v>#N/A</v>
      </c>
      <c r="AG124" t="e">
        <f>IFERROR(IF(OR($C124="",AG$91="",AG$91&gt;c_RefDate),NA(),IF(ISNUMBER(INDEX(db_Vals,MATCH(AG$91,db_Dates,0),$B124)),INDEX(db_Vals,MATCH(AG$91,db_Dates,0),$B124),NA())),NA())</f>
        <v>#N/A</v>
      </c>
      <c r="AH124" t="e">
        <f>IFERROR(IF(OR($C124="",AH$91="",AH$91&gt;c_RefDate),NA(),IF(ISNUMBER(INDEX(db_Vals,MATCH(AH$91,db_Dates,0),$B124)),INDEX(db_Vals,MATCH(AH$91,db_Dates,0),$B124),NA())),NA())</f>
        <v>#N/A</v>
      </c>
      <c r="AI124" t="e">
        <f>IFERROR(IF(OR($C124="",AI$91="",AI$91&gt;c_RefDate),NA(),IF(ISNUMBER(INDEX(db_Vals,MATCH(AI$91,db_Dates,0),$B124)),INDEX(db_Vals,MATCH(AI$91,db_Dates,0),$B124),NA())),NA())</f>
        <v>#N/A</v>
      </c>
      <c r="AJ124" t="e">
        <f>IFERROR(IF(OR($C124="",AJ$91="",AJ$91&gt;c_RefDate),NA(),IF(ISNUMBER(INDEX(db_Vals,MATCH(AJ$91,db_Dates,0),$B124)),INDEX(db_Vals,MATCH(AJ$91,db_Dates,0),$B124),NA())),NA())</f>
        <v>#N/A</v>
      </c>
      <c r="AK124" t="e">
        <f>IFERROR(IF(OR($C124="",AK$91="",AK$91&gt;c_RefDate),NA(),IF(ISNUMBER(INDEX(db_Vals,MATCH(AK$91,db_Dates,0),$B124)),INDEX(db_Vals,MATCH(AK$91,db_Dates,0),$B124),NA())),NA())</f>
        <v>#N/A</v>
      </c>
      <c r="AL124" t="e">
        <f>IFERROR(IF(OR($C124="",AL$91="",AL$91&gt;c_RefDate),NA(),IF(ISNUMBER(INDEX(db_Vals,MATCH(AL$91,db_Dates,0),$B124)),INDEX(db_Vals,MATCH(AL$91,db_Dates,0),$B124),NA())),NA())</f>
        <v>#N/A</v>
      </c>
      <c r="AM124" t="e">
        <f>IFERROR(IF(OR($C124="",AM$91="",AM$91&gt;c_RefDate),NA(),IF(ISNUMBER(INDEX(db_Vals,MATCH(AM$91,db_Dates,0),$B124)),INDEX(db_Vals,MATCH(AM$91,db_Dates,0),$B124),NA())),NA())</f>
        <v>#N/A</v>
      </c>
      <c r="AN124" t="e">
        <f>IFERROR(IF(OR($C124="",AN$91="",AN$91&gt;c_RefDate),NA(),IF(ISNUMBER(INDEX(db_Vals,MATCH(AN$91,db_Dates,0),$B124)),INDEX(db_Vals,MATCH(AN$91,db_Dates,0),$B124),NA())),NA())</f>
        <v>#N/A</v>
      </c>
      <c r="AO124" t="e">
        <f>IFERROR(IF(OR($C124="",AO$91="",AO$91&gt;c_RefDate),NA(),IF(ISNUMBER(INDEX(db_Vals,MATCH(AO$91,db_Dates,0),$B124)),INDEX(db_Vals,MATCH(AO$91,db_Dates,0),$B124),NA())),NA())</f>
        <v>#N/A</v>
      </c>
      <c r="AP124" t="e">
        <f>IFERROR(IF(OR($C124="",AP$91="",AP$91&gt;c_RefDate),NA(),IF(ISNUMBER(INDEX(db_Vals,MATCH(AP$91,db_Dates,0),$B124)),INDEX(db_Vals,MATCH(AP$91,db_Dates,0),$B124),NA())),NA())</f>
        <v>#N/A</v>
      </c>
    </row>
    <row r="125" spans="1:42">
      <c r="A125">
        <v>34</v>
      </c>
      <c r="B125">
        <f>MATCH(LARGE($J$46:$J$85,$A125),$J$46:$J$85,0)</f>
        <v>34.0</v>
      </c>
      <c r="C125" t="str">
        <f>INDEX($B$46:$B$85,$B125)</f>
        <v/>
      </c>
      <c r="D125" t="str">
        <f>INDEX($E$46:$E$85,$B125)</f>
        <v/>
      </c>
      <c r="E125">
        <f>INDEX($I$46:$I$85,$B125)</f>
        <v>-1.0</v>
      </c>
      <c r="F125" t="str">
        <f>INDEX($H$46:$H$85,$B125)</f>
        <v/>
      </c>
      <c r="G125">
        <f>INDEX($K$46:$K$85,$B125)</f>
        <v>0.0</v>
      </c>
      <c r="H125" s="130">
        <f>INDEX($D$46:$D$85,$B125)</f>
        <v>0.0</v>
      </c>
      <c r="L125" t="e">
        <f>IFERROR(IF(OR($C125="",L$91="",L$91&gt;c_RefDate),NA(),IF(ISNUMBER(INDEX(db_Vals,MATCH(L$91,db_Dates,0),$B125)),INDEX(db_Vals,MATCH(L$91,db_Dates,0),$B125),NA())),NA())</f>
        <v>#N/A</v>
      </c>
      <c r="M125" t="e">
        <f>IFERROR(IF(OR($C125="",M$91="",M$91&gt;c_RefDate),NA(),IF(ISNUMBER(INDEX(db_Vals,MATCH(M$91,db_Dates,0),$B125)),INDEX(db_Vals,MATCH(M$91,db_Dates,0),$B125),NA())),NA())</f>
        <v>#N/A</v>
      </c>
      <c r="N125" t="e">
        <f>IFERROR(IF(OR($C125="",N$91="",N$91&gt;c_RefDate),NA(),IF(ISNUMBER(INDEX(db_Vals,MATCH(N$91,db_Dates,0),$B125)),INDEX(db_Vals,MATCH(N$91,db_Dates,0),$B125),NA())),NA())</f>
        <v>#N/A</v>
      </c>
      <c r="O125" t="e">
        <f>IFERROR(IF(OR($C125="",O$91="",O$91&gt;c_RefDate),NA(),IF(ISNUMBER(INDEX(db_Vals,MATCH(O$91,db_Dates,0),$B125)),INDEX(db_Vals,MATCH(O$91,db_Dates,0),$B125),NA())),NA())</f>
        <v>#N/A</v>
      </c>
      <c r="P125" t="e">
        <f>IFERROR(IF(OR($C125="",P$91="",P$91&gt;c_RefDate),NA(),IF(ISNUMBER(INDEX(db_Vals,MATCH(P$91,db_Dates,0),$B125)),INDEX(db_Vals,MATCH(P$91,db_Dates,0),$B125),NA())),NA())</f>
        <v>#N/A</v>
      </c>
      <c r="Q125" t="e">
        <f>IFERROR(IF(OR($C125="",Q$91="",Q$91&gt;c_RefDate),NA(),IF(ISNUMBER(INDEX(db_Vals,MATCH(Q$91,db_Dates,0),$B125)),INDEX(db_Vals,MATCH(Q$91,db_Dates,0),$B125),NA())),NA())</f>
        <v>#N/A</v>
      </c>
      <c r="R125" t="e">
        <f>IFERROR(IF(OR($C125="",R$91="",R$91&gt;c_RefDate),NA(),IF(ISNUMBER(INDEX(db_Vals,MATCH(R$91,db_Dates,0),$B125)),INDEX(db_Vals,MATCH(R$91,db_Dates,0),$B125),NA())),NA())</f>
        <v>#N/A</v>
      </c>
      <c r="S125" t="e">
        <f>IFERROR(IF(OR($C125="",S$91="",S$91&gt;c_RefDate),NA(),IF(ISNUMBER(INDEX(db_Vals,MATCH(S$91,db_Dates,0),$B125)),INDEX(db_Vals,MATCH(S$91,db_Dates,0),$B125),NA())),NA())</f>
        <v>#N/A</v>
      </c>
      <c r="T125" t="e">
        <f>IFERROR(IF(OR($C125="",T$91="",T$91&gt;c_RefDate),NA(),IF(ISNUMBER(INDEX(db_Vals,MATCH(T$91,db_Dates,0),$B125)),INDEX(db_Vals,MATCH(T$91,db_Dates,0),$B125),NA())),NA())</f>
        <v>#N/A</v>
      </c>
      <c r="U125" t="e">
        <f>IFERROR(IF(OR($C125="",U$91="",U$91&gt;c_RefDate),NA(),IF(ISNUMBER(INDEX(db_Vals,MATCH(U$91,db_Dates,0),$B125)),INDEX(db_Vals,MATCH(U$91,db_Dates,0),$B125),NA())),NA())</f>
        <v>#N/A</v>
      </c>
      <c r="V125" t="e">
        <f>IFERROR(IF(OR($C125="",V$91="",V$91&gt;c_RefDate),NA(),IF(ISNUMBER(INDEX(db_Vals,MATCH(V$91,db_Dates,0),$B125)),INDEX(db_Vals,MATCH(V$91,db_Dates,0),$B125),NA())),NA())</f>
        <v>#N/A</v>
      </c>
      <c r="W125" t="e">
        <f>IFERROR(IF(OR($C125="",W$91="",W$91&gt;c_RefDate),NA(),IF(ISNUMBER(INDEX(db_Vals,MATCH(W$91,db_Dates,0),$B125)),INDEX(db_Vals,MATCH(W$91,db_Dates,0),$B125),NA())),NA())</f>
        <v>#N/A</v>
      </c>
      <c r="X125" t="e">
        <f>IFERROR(IF(OR($C125="",X$91="",X$91&gt;c_RefDate),NA(),IF(ISNUMBER(INDEX(db_Vals,MATCH(X$91,db_Dates,0),$B125)),INDEX(db_Vals,MATCH(X$91,db_Dates,0),$B125),NA())),NA())</f>
        <v>#N/A</v>
      </c>
      <c r="Y125" t="e">
        <f>IFERROR(IF(OR($C125="",Y$91="",Y$91&gt;c_RefDate),NA(),IF(ISNUMBER(INDEX(db_Vals,MATCH(Y$91,db_Dates,0),$B125)),INDEX(db_Vals,MATCH(Y$91,db_Dates,0),$B125),NA())),NA())</f>
        <v>#N/A</v>
      </c>
      <c r="Z125" t="e">
        <f>IFERROR(IF(OR($C125="",Z$91="",Z$91&gt;c_RefDate),NA(),IF(ISNUMBER(INDEX(db_Vals,MATCH(Z$91,db_Dates,0),$B125)),INDEX(db_Vals,MATCH(Z$91,db_Dates,0),$B125),NA())),NA())</f>
        <v>#N/A</v>
      </c>
      <c r="AA125" t="e">
        <f>IFERROR(IF(OR($C125="",AA$91="",AA$91&gt;c_RefDate),NA(),IF(ISNUMBER(INDEX(db_Vals,MATCH(AA$91,db_Dates,0),$B125)),INDEX(db_Vals,MATCH(AA$91,db_Dates,0),$B125),NA())),NA())</f>
        <v>#N/A</v>
      </c>
      <c r="AB125" t="e">
        <f>IFERROR(IF(OR($C125="",AB$91="",AB$91&gt;c_RefDate),NA(),IF(ISNUMBER(INDEX(db_Vals,MATCH(AB$91,db_Dates,0),$B125)),INDEX(db_Vals,MATCH(AB$91,db_Dates,0),$B125),NA())),NA())</f>
        <v>#N/A</v>
      </c>
      <c r="AC125" t="e">
        <f>IFERROR(IF(OR($C125="",AC$91="",AC$91&gt;c_RefDate),NA(),IF(ISNUMBER(INDEX(db_Vals,MATCH(AC$91,db_Dates,0),$B125)),INDEX(db_Vals,MATCH(AC$91,db_Dates,0),$B125),NA())),NA())</f>
        <v>#N/A</v>
      </c>
      <c r="AD125" t="e">
        <f>IFERROR(IF(OR($C125="",AD$91="",AD$91&gt;c_RefDate),NA(),IF(ISNUMBER(INDEX(db_Vals,MATCH(AD$91,db_Dates,0),$B125)),INDEX(db_Vals,MATCH(AD$91,db_Dates,0),$B125),NA())),NA())</f>
        <v>#N/A</v>
      </c>
      <c r="AE125" t="e">
        <f>IFERROR(IF(OR($C125="",AE$91="",AE$91&gt;c_RefDate),NA(),IF(ISNUMBER(INDEX(db_Vals,MATCH(AE$91,db_Dates,0),$B125)),INDEX(db_Vals,MATCH(AE$91,db_Dates,0),$B125),NA())),NA())</f>
        <v>#N/A</v>
      </c>
      <c r="AF125" t="e">
        <f>IFERROR(IF(OR($C125="",AF$91="",AF$91&gt;c_RefDate),NA(),IF(ISNUMBER(INDEX(db_Vals,MATCH(AF$91,db_Dates,0),$B125)),INDEX(db_Vals,MATCH(AF$91,db_Dates,0),$B125),NA())),NA())</f>
        <v>#N/A</v>
      </c>
      <c r="AG125" t="e">
        <f>IFERROR(IF(OR($C125="",AG$91="",AG$91&gt;c_RefDate),NA(),IF(ISNUMBER(INDEX(db_Vals,MATCH(AG$91,db_Dates,0),$B125)),INDEX(db_Vals,MATCH(AG$91,db_Dates,0),$B125),NA())),NA())</f>
        <v>#N/A</v>
      </c>
      <c r="AH125" t="e">
        <f>IFERROR(IF(OR($C125="",AH$91="",AH$91&gt;c_RefDate),NA(),IF(ISNUMBER(INDEX(db_Vals,MATCH(AH$91,db_Dates,0),$B125)),INDEX(db_Vals,MATCH(AH$91,db_Dates,0),$B125),NA())),NA())</f>
        <v>#N/A</v>
      </c>
      <c r="AI125" t="e">
        <f>IFERROR(IF(OR($C125="",AI$91="",AI$91&gt;c_RefDate),NA(),IF(ISNUMBER(INDEX(db_Vals,MATCH(AI$91,db_Dates,0),$B125)),INDEX(db_Vals,MATCH(AI$91,db_Dates,0),$B125),NA())),NA())</f>
        <v>#N/A</v>
      </c>
      <c r="AJ125" t="e">
        <f>IFERROR(IF(OR($C125="",AJ$91="",AJ$91&gt;c_RefDate),NA(),IF(ISNUMBER(INDEX(db_Vals,MATCH(AJ$91,db_Dates,0),$B125)),INDEX(db_Vals,MATCH(AJ$91,db_Dates,0),$B125),NA())),NA())</f>
        <v>#N/A</v>
      </c>
      <c r="AK125" t="e">
        <f>IFERROR(IF(OR($C125="",AK$91="",AK$91&gt;c_RefDate),NA(),IF(ISNUMBER(INDEX(db_Vals,MATCH(AK$91,db_Dates,0),$B125)),INDEX(db_Vals,MATCH(AK$91,db_Dates,0),$B125),NA())),NA())</f>
        <v>#N/A</v>
      </c>
      <c r="AL125" t="e">
        <f>IFERROR(IF(OR($C125="",AL$91="",AL$91&gt;c_RefDate),NA(),IF(ISNUMBER(INDEX(db_Vals,MATCH(AL$91,db_Dates,0),$B125)),INDEX(db_Vals,MATCH(AL$91,db_Dates,0),$B125),NA())),NA())</f>
        <v>#N/A</v>
      </c>
      <c r="AM125" t="e">
        <f>IFERROR(IF(OR($C125="",AM$91="",AM$91&gt;c_RefDate),NA(),IF(ISNUMBER(INDEX(db_Vals,MATCH(AM$91,db_Dates,0),$B125)),INDEX(db_Vals,MATCH(AM$91,db_Dates,0),$B125),NA())),NA())</f>
        <v>#N/A</v>
      </c>
      <c r="AN125" t="e">
        <f>IFERROR(IF(OR($C125="",AN$91="",AN$91&gt;c_RefDate),NA(),IF(ISNUMBER(INDEX(db_Vals,MATCH(AN$91,db_Dates,0),$B125)),INDEX(db_Vals,MATCH(AN$91,db_Dates,0),$B125),NA())),NA())</f>
        <v>#N/A</v>
      </c>
      <c r="AO125" t="e">
        <f>IFERROR(IF(OR($C125="",AO$91="",AO$91&gt;c_RefDate),NA(),IF(ISNUMBER(INDEX(db_Vals,MATCH(AO$91,db_Dates,0),$B125)),INDEX(db_Vals,MATCH(AO$91,db_Dates,0),$B125),NA())),NA())</f>
        <v>#N/A</v>
      </c>
      <c r="AP125" t="e">
        <f>IFERROR(IF(OR($C125="",AP$91="",AP$91&gt;c_RefDate),NA(),IF(ISNUMBER(INDEX(db_Vals,MATCH(AP$91,db_Dates,0),$B125)),INDEX(db_Vals,MATCH(AP$91,db_Dates,0),$B125),NA())),NA())</f>
        <v>#N/A</v>
      </c>
    </row>
    <row r="126" spans="1:42">
      <c r="A126">
        <v>35</v>
      </c>
      <c r="B126">
        <f>MATCH(LARGE($J$46:$J$85,$A126),$J$46:$J$85,0)</f>
        <v>35.0</v>
      </c>
      <c r="C126" t="str">
        <f>INDEX($B$46:$B$85,$B126)</f>
        <v/>
      </c>
      <c r="D126" t="str">
        <f>INDEX($E$46:$E$85,$B126)</f>
        <v/>
      </c>
      <c r="E126">
        <f>INDEX($I$46:$I$85,$B126)</f>
        <v>-1.0</v>
      </c>
      <c r="F126" t="str">
        <f>INDEX($H$46:$H$85,$B126)</f>
        <v/>
      </c>
      <c r="G126">
        <f>INDEX($K$46:$K$85,$B126)</f>
        <v>0.0</v>
      </c>
      <c r="H126" s="130">
        <f>INDEX($D$46:$D$85,$B126)</f>
        <v>0.0</v>
      </c>
      <c r="L126" t="e">
        <f>IFERROR(IF(OR($C126="",L$91="",L$91&gt;c_RefDate),NA(),IF(ISNUMBER(INDEX(db_Vals,MATCH(L$91,db_Dates,0),$B126)),INDEX(db_Vals,MATCH(L$91,db_Dates,0),$B126),NA())),NA())</f>
        <v>#N/A</v>
      </c>
      <c r="M126" t="e">
        <f>IFERROR(IF(OR($C126="",M$91="",M$91&gt;c_RefDate),NA(),IF(ISNUMBER(INDEX(db_Vals,MATCH(M$91,db_Dates,0),$B126)),INDEX(db_Vals,MATCH(M$91,db_Dates,0),$B126),NA())),NA())</f>
        <v>#N/A</v>
      </c>
      <c r="N126" t="e">
        <f>IFERROR(IF(OR($C126="",N$91="",N$91&gt;c_RefDate),NA(),IF(ISNUMBER(INDEX(db_Vals,MATCH(N$91,db_Dates,0),$B126)),INDEX(db_Vals,MATCH(N$91,db_Dates,0),$B126),NA())),NA())</f>
        <v>#N/A</v>
      </c>
      <c r="O126" t="e">
        <f>IFERROR(IF(OR($C126="",O$91="",O$91&gt;c_RefDate),NA(),IF(ISNUMBER(INDEX(db_Vals,MATCH(O$91,db_Dates,0),$B126)),INDEX(db_Vals,MATCH(O$91,db_Dates,0),$B126),NA())),NA())</f>
        <v>#N/A</v>
      </c>
      <c r="P126" t="e">
        <f>IFERROR(IF(OR($C126="",P$91="",P$91&gt;c_RefDate),NA(),IF(ISNUMBER(INDEX(db_Vals,MATCH(P$91,db_Dates,0),$B126)),INDEX(db_Vals,MATCH(P$91,db_Dates,0),$B126),NA())),NA())</f>
        <v>#N/A</v>
      </c>
      <c r="Q126" t="e">
        <f>IFERROR(IF(OR($C126="",Q$91="",Q$91&gt;c_RefDate),NA(),IF(ISNUMBER(INDEX(db_Vals,MATCH(Q$91,db_Dates,0),$B126)),INDEX(db_Vals,MATCH(Q$91,db_Dates,0),$B126),NA())),NA())</f>
        <v>#N/A</v>
      </c>
      <c r="R126" t="e">
        <f>IFERROR(IF(OR($C126="",R$91="",R$91&gt;c_RefDate),NA(),IF(ISNUMBER(INDEX(db_Vals,MATCH(R$91,db_Dates,0),$B126)),INDEX(db_Vals,MATCH(R$91,db_Dates,0),$B126),NA())),NA())</f>
        <v>#N/A</v>
      </c>
      <c r="S126" t="e">
        <f>IFERROR(IF(OR($C126="",S$91="",S$91&gt;c_RefDate),NA(),IF(ISNUMBER(INDEX(db_Vals,MATCH(S$91,db_Dates,0),$B126)),INDEX(db_Vals,MATCH(S$91,db_Dates,0),$B126),NA())),NA())</f>
        <v>#N/A</v>
      </c>
      <c r="T126" t="e">
        <f>IFERROR(IF(OR($C126="",T$91="",T$91&gt;c_RefDate),NA(),IF(ISNUMBER(INDEX(db_Vals,MATCH(T$91,db_Dates,0),$B126)),INDEX(db_Vals,MATCH(T$91,db_Dates,0),$B126),NA())),NA())</f>
        <v>#N/A</v>
      </c>
      <c r="U126" t="e">
        <f>IFERROR(IF(OR($C126="",U$91="",U$91&gt;c_RefDate),NA(),IF(ISNUMBER(INDEX(db_Vals,MATCH(U$91,db_Dates,0),$B126)),INDEX(db_Vals,MATCH(U$91,db_Dates,0),$B126),NA())),NA())</f>
        <v>#N/A</v>
      </c>
      <c r="V126" t="e">
        <f>IFERROR(IF(OR($C126="",V$91="",V$91&gt;c_RefDate),NA(),IF(ISNUMBER(INDEX(db_Vals,MATCH(V$91,db_Dates,0),$B126)),INDEX(db_Vals,MATCH(V$91,db_Dates,0),$B126),NA())),NA())</f>
        <v>#N/A</v>
      </c>
      <c r="W126" t="e">
        <f>IFERROR(IF(OR($C126="",W$91="",W$91&gt;c_RefDate),NA(),IF(ISNUMBER(INDEX(db_Vals,MATCH(W$91,db_Dates,0),$B126)),INDEX(db_Vals,MATCH(W$91,db_Dates,0),$B126),NA())),NA())</f>
        <v>#N/A</v>
      </c>
      <c r="X126" t="e">
        <f>IFERROR(IF(OR($C126="",X$91="",X$91&gt;c_RefDate),NA(),IF(ISNUMBER(INDEX(db_Vals,MATCH(X$91,db_Dates,0),$B126)),INDEX(db_Vals,MATCH(X$91,db_Dates,0),$B126),NA())),NA())</f>
        <v>#N/A</v>
      </c>
      <c r="Y126" t="e">
        <f>IFERROR(IF(OR($C126="",Y$91="",Y$91&gt;c_RefDate),NA(),IF(ISNUMBER(INDEX(db_Vals,MATCH(Y$91,db_Dates,0),$B126)),INDEX(db_Vals,MATCH(Y$91,db_Dates,0),$B126),NA())),NA())</f>
        <v>#N/A</v>
      </c>
      <c r="Z126" t="e">
        <f>IFERROR(IF(OR($C126="",Z$91="",Z$91&gt;c_RefDate),NA(),IF(ISNUMBER(INDEX(db_Vals,MATCH(Z$91,db_Dates,0),$B126)),INDEX(db_Vals,MATCH(Z$91,db_Dates,0),$B126),NA())),NA())</f>
        <v>#N/A</v>
      </c>
      <c r="AA126" t="e">
        <f>IFERROR(IF(OR($C126="",AA$91="",AA$91&gt;c_RefDate),NA(),IF(ISNUMBER(INDEX(db_Vals,MATCH(AA$91,db_Dates,0),$B126)),INDEX(db_Vals,MATCH(AA$91,db_Dates,0),$B126),NA())),NA())</f>
        <v>#N/A</v>
      </c>
      <c r="AB126" t="e">
        <f>IFERROR(IF(OR($C126="",AB$91="",AB$91&gt;c_RefDate),NA(),IF(ISNUMBER(INDEX(db_Vals,MATCH(AB$91,db_Dates,0),$B126)),INDEX(db_Vals,MATCH(AB$91,db_Dates,0),$B126),NA())),NA())</f>
        <v>#N/A</v>
      </c>
      <c r="AC126" t="e">
        <f>IFERROR(IF(OR($C126="",AC$91="",AC$91&gt;c_RefDate),NA(),IF(ISNUMBER(INDEX(db_Vals,MATCH(AC$91,db_Dates,0),$B126)),INDEX(db_Vals,MATCH(AC$91,db_Dates,0),$B126),NA())),NA())</f>
        <v>#N/A</v>
      </c>
      <c r="AD126" t="e">
        <f>IFERROR(IF(OR($C126="",AD$91="",AD$91&gt;c_RefDate),NA(),IF(ISNUMBER(INDEX(db_Vals,MATCH(AD$91,db_Dates,0),$B126)),INDEX(db_Vals,MATCH(AD$91,db_Dates,0),$B126),NA())),NA())</f>
        <v>#N/A</v>
      </c>
      <c r="AE126" t="e">
        <f>IFERROR(IF(OR($C126="",AE$91="",AE$91&gt;c_RefDate),NA(),IF(ISNUMBER(INDEX(db_Vals,MATCH(AE$91,db_Dates,0),$B126)),INDEX(db_Vals,MATCH(AE$91,db_Dates,0),$B126),NA())),NA())</f>
        <v>#N/A</v>
      </c>
      <c r="AF126" t="e">
        <f>IFERROR(IF(OR($C126="",AF$91="",AF$91&gt;c_RefDate),NA(),IF(ISNUMBER(INDEX(db_Vals,MATCH(AF$91,db_Dates,0),$B126)),INDEX(db_Vals,MATCH(AF$91,db_Dates,0),$B126),NA())),NA())</f>
        <v>#N/A</v>
      </c>
      <c r="AG126" t="e">
        <f>IFERROR(IF(OR($C126="",AG$91="",AG$91&gt;c_RefDate),NA(),IF(ISNUMBER(INDEX(db_Vals,MATCH(AG$91,db_Dates,0),$B126)),INDEX(db_Vals,MATCH(AG$91,db_Dates,0),$B126),NA())),NA())</f>
        <v>#N/A</v>
      </c>
      <c r="AH126" t="e">
        <f>IFERROR(IF(OR($C126="",AH$91="",AH$91&gt;c_RefDate),NA(),IF(ISNUMBER(INDEX(db_Vals,MATCH(AH$91,db_Dates,0),$B126)),INDEX(db_Vals,MATCH(AH$91,db_Dates,0),$B126),NA())),NA())</f>
        <v>#N/A</v>
      </c>
      <c r="AI126" t="e">
        <f>IFERROR(IF(OR($C126="",AI$91="",AI$91&gt;c_RefDate),NA(),IF(ISNUMBER(INDEX(db_Vals,MATCH(AI$91,db_Dates,0),$B126)),INDEX(db_Vals,MATCH(AI$91,db_Dates,0),$B126),NA())),NA())</f>
        <v>#N/A</v>
      </c>
      <c r="AJ126" t="e">
        <f>IFERROR(IF(OR($C126="",AJ$91="",AJ$91&gt;c_RefDate),NA(),IF(ISNUMBER(INDEX(db_Vals,MATCH(AJ$91,db_Dates,0),$B126)),INDEX(db_Vals,MATCH(AJ$91,db_Dates,0),$B126),NA())),NA())</f>
        <v>#N/A</v>
      </c>
      <c r="AK126" t="e">
        <f>IFERROR(IF(OR($C126="",AK$91="",AK$91&gt;c_RefDate),NA(),IF(ISNUMBER(INDEX(db_Vals,MATCH(AK$91,db_Dates,0),$B126)),INDEX(db_Vals,MATCH(AK$91,db_Dates,0),$B126),NA())),NA())</f>
        <v>#N/A</v>
      </c>
      <c r="AL126" t="e">
        <f>IFERROR(IF(OR($C126="",AL$91="",AL$91&gt;c_RefDate),NA(),IF(ISNUMBER(INDEX(db_Vals,MATCH(AL$91,db_Dates,0),$B126)),INDEX(db_Vals,MATCH(AL$91,db_Dates,0),$B126),NA())),NA())</f>
        <v>#N/A</v>
      </c>
      <c r="AM126" t="e">
        <f>IFERROR(IF(OR($C126="",AM$91="",AM$91&gt;c_RefDate),NA(),IF(ISNUMBER(INDEX(db_Vals,MATCH(AM$91,db_Dates,0),$B126)),INDEX(db_Vals,MATCH(AM$91,db_Dates,0),$B126),NA())),NA())</f>
        <v>#N/A</v>
      </c>
      <c r="AN126" t="e">
        <f>IFERROR(IF(OR($C126="",AN$91="",AN$91&gt;c_RefDate),NA(),IF(ISNUMBER(INDEX(db_Vals,MATCH(AN$91,db_Dates,0),$B126)),INDEX(db_Vals,MATCH(AN$91,db_Dates,0),$B126),NA())),NA())</f>
        <v>#N/A</v>
      </c>
      <c r="AO126" t="e">
        <f>IFERROR(IF(OR($C126="",AO$91="",AO$91&gt;c_RefDate),NA(),IF(ISNUMBER(INDEX(db_Vals,MATCH(AO$91,db_Dates,0),$B126)),INDEX(db_Vals,MATCH(AO$91,db_Dates,0),$B126),NA())),NA())</f>
        <v>#N/A</v>
      </c>
      <c r="AP126" t="e">
        <f>IFERROR(IF(OR($C126="",AP$91="",AP$91&gt;c_RefDate),NA(),IF(ISNUMBER(INDEX(db_Vals,MATCH(AP$91,db_Dates,0),$B126)),INDEX(db_Vals,MATCH(AP$91,db_Dates,0),$B126),NA())),NA())</f>
        <v>#N/A</v>
      </c>
    </row>
    <row r="127" spans="1:42">
      <c r="A127">
        <v>36</v>
      </c>
      <c r="B127">
        <f>MATCH(LARGE($J$46:$J$85,$A127),$J$46:$J$85,0)</f>
        <v>36.0</v>
      </c>
      <c r="C127" t="str">
        <f>INDEX($B$46:$B$85,$B127)</f>
        <v/>
      </c>
      <c r="D127" t="str">
        <f>INDEX($E$46:$E$85,$B127)</f>
        <v/>
      </c>
      <c r="E127">
        <f>INDEX($I$46:$I$85,$B127)</f>
        <v>-1.0</v>
      </c>
      <c r="F127" t="str">
        <f>INDEX($H$46:$H$85,$B127)</f>
        <v/>
      </c>
      <c r="G127">
        <f>INDEX($K$46:$K$85,$B127)</f>
        <v>0.0</v>
      </c>
      <c r="H127" s="130">
        <f>INDEX($D$46:$D$85,$B127)</f>
        <v>0.0</v>
      </c>
      <c r="L127" t="e">
        <f>IFERROR(IF(OR($C127="",L$91="",L$91&gt;c_RefDate),NA(),IF(ISNUMBER(INDEX(db_Vals,MATCH(L$91,db_Dates,0),$B127)),INDEX(db_Vals,MATCH(L$91,db_Dates,0),$B127),NA())),NA())</f>
        <v>#N/A</v>
      </c>
      <c r="M127" t="e">
        <f>IFERROR(IF(OR($C127="",M$91="",M$91&gt;c_RefDate),NA(),IF(ISNUMBER(INDEX(db_Vals,MATCH(M$91,db_Dates,0),$B127)),INDEX(db_Vals,MATCH(M$91,db_Dates,0),$B127),NA())),NA())</f>
        <v>#N/A</v>
      </c>
      <c r="N127" t="e">
        <f>IFERROR(IF(OR($C127="",N$91="",N$91&gt;c_RefDate),NA(),IF(ISNUMBER(INDEX(db_Vals,MATCH(N$91,db_Dates,0),$B127)),INDEX(db_Vals,MATCH(N$91,db_Dates,0),$B127),NA())),NA())</f>
        <v>#N/A</v>
      </c>
      <c r="O127" t="e">
        <f>IFERROR(IF(OR($C127="",O$91="",O$91&gt;c_RefDate),NA(),IF(ISNUMBER(INDEX(db_Vals,MATCH(O$91,db_Dates,0),$B127)),INDEX(db_Vals,MATCH(O$91,db_Dates,0),$B127),NA())),NA())</f>
        <v>#N/A</v>
      </c>
      <c r="P127" t="e">
        <f>IFERROR(IF(OR($C127="",P$91="",P$91&gt;c_RefDate),NA(),IF(ISNUMBER(INDEX(db_Vals,MATCH(P$91,db_Dates,0),$B127)),INDEX(db_Vals,MATCH(P$91,db_Dates,0),$B127),NA())),NA())</f>
        <v>#N/A</v>
      </c>
      <c r="Q127" t="e">
        <f>IFERROR(IF(OR($C127="",Q$91="",Q$91&gt;c_RefDate),NA(),IF(ISNUMBER(INDEX(db_Vals,MATCH(Q$91,db_Dates,0),$B127)),INDEX(db_Vals,MATCH(Q$91,db_Dates,0),$B127),NA())),NA())</f>
        <v>#N/A</v>
      </c>
      <c r="R127" t="e">
        <f>IFERROR(IF(OR($C127="",R$91="",R$91&gt;c_RefDate),NA(),IF(ISNUMBER(INDEX(db_Vals,MATCH(R$91,db_Dates,0),$B127)),INDEX(db_Vals,MATCH(R$91,db_Dates,0),$B127),NA())),NA())</f>
        <v>#N/A</v>
      </c>
      <c r="S127" t="e">
        <f>IFERROR(IF(OR($C127="",S$91="",S$91&gt;c_RefDate),NA(),IF(ISNUMBER(INDEX(db_Vals,MATCH(S$91,db_Dates,0),$B127)),INDEX(db_Vals,MATCH(S$91,db_Dates,0),$B127),NA())),NA())</f>
        <v>#N/A</v>
      </c>
      <c r="T127" t="e">
        <f>IFERROR(IF(OR($C127="",T$91="",T$91&gt;c_RefDate),NA(),IF(ISNUMBER(INDEX(db_Vals,MATCH(T$91,db_Dates,0),$B127)),INDEX(db_Vals,MATCH(T$91,db_Dates,0),$B127),NA())),NA())</f>
        <v>#N/A</v>
      </c>
      <c r="U127" t="e">
        <f>IFERROR(IF(OR($C127="",U$91="",U$91&gt;c_RefDate),NA(),IF(ISNUMBER(INDEX(db_Vals,MATCH(U$91,db_Dates,0),$B127)),INDEX(db_Vals,MATCH(U$91,db_Dates,0),$B127),NA())),NA())</f>
        <v>#N/A</v>
      </c>
      <c r="V127" t="e">
        <f>IFERROR(IF(OR($C127="",V$91="",V$91&gt;c_RefDate),NA(),IF(ISNUMBER(INDEX(db_Vals,MATCH(V$91,db_Dates,0),$B127)),INDEX(db_Vals,MATCH(V$91,db_Dates,0),$B127),NA())),NA())</f>
        <v>#N/A</v>
      </c>
      <c r="W127" t="e">
        <f>IFERROR(IF(OR($C127="",W$91="",W$91&gt;c_RefDate),NA(),IF(ISNUMBER(INDEX(db_Vals,MATCH(W$91,db_Dates,0),$B127)),INDEX(db_Vals,MATCH(W$91,db_Dates,0),$B127),NA())),NA())</f>
        <v>#N/A</v>
      </c>
      <c r="X127" t="e">
        <f>IFERROR(IF(OR($C127="",X$91="",X$91&gt;c_RefDate),NA(),IF(ISNUMBER(INDEX(db_Vals,MATCH(X$91,db_Dates,0),$B127)),INDEX(db_Vals,MATCH(X$91,db_Dates,0),$B127),NA())),NA())</f>
        <v>#N/A</v>
      </c>
      <c r="Y127" t="e">
        <f>IFERROR(IF(OR($C127="",Y$91="",Y$91&gt;c_RefDate),NA(),IF(ISNUMBER(INDEX(db_Vals,MATCH(Y$91,db_Dates,0),$B127)),INDEX(db_Vals,MATCH(Y$91,db_Dates,0),$B127),NA())),NA())</f>
        <v>#N/A</v>
      </c>
      <c r="Z127" t="e">
        <f>IFERROR(IF(OR($C127="",Z$91="",Z$91&gt;c_RefDate),NA(),IF(ISNUMBER(INDEX(db_Vals,MATCH(Z$91,db_Dates,0),$B127)),INDEX(db_Vals,MATCH(Z$91,db_Dates,0),$B127),NA())),NA())</f>
        <v>#N/A</v>
      </c>
      <c r="AA127" t="e">
        <f>IFERROR(IF(OR($C127="",AA$91="",AA$91&gt;c_RefDate),NA(),IF(ISNUMBER(INDEX(db_Vals,MATCH(AA$91,db_Dates,0),$B127)),INDEX(db_Vals,MATCH(AA$91,db_Dates,0),$B127),NA())),NA())</f>
        <v>#N/A</v>
      </c>
      <c r="AB127" t="e">
        <f>IFERROR(IF(OR($C127="",AB$91="",AB$91&gt;c_RefDate),NA(),IF(ISNUMBER(INDEX(db_Vals,MATCH(AB$91,db_Dates,0),$B127)),INDEX(db_Vals,MATCH(AB$91,db_Dates,0),$B127),NA())),NA())</f>
        <v>#N/A</v>
      </c>
      <c r="AC127" t="e">
        <f>IFERROR(IF(OR($C127="",AC$91="",AC$91&gt;c_RefDate),NA(),IF(ISNUMBER(INDEX(db_Vals,MATCH(AC$91,db_Dates,0),$B127)),INDEX(db_Vals,MATCH(AC$91,db_Dates,0),$B127),NA())),NA())</f>
        <v>#N/A</v>
      </c>
      <c r="AD127" t="e">
        <f>IFERROR(IF(OR($C127="",AD$91="",AD$91&gt;c_RefDate),NA(),IF(ISNUMBER(INDEX(db_Vals,MATCH(AD$91,db_Dates,0),$B127)),INDEX(db_Vals,MATCH(AD$91,db_Dates,0),$B127),NA())),NA())</f>
        <v>#N/A</v>
      </c>
      <c r="AE127" t="e">
        <f>IFERROR(IF(OR($C127="",AE$91="",AE$91&gt;c_RefDate),NA(),IF(ISNUMBER(INDEX(db_Vals,MATCH(AE$91,db_Dates,0),$B127)),INDEX(db_Vals,MATCH(AE$91,db_Dates,0),$B127),NA())),NA())</f>
        <v>#N/A</v>
      </c>
      <c r="AF127" t="e">
        <f>IFERROR(IF(OR($C127="",AF$91="",AF$91&gt;c_RefDate),NA(),IF(ISNUMBER(INDEX(db_Vals,MATCH(AF$91,db_Dates,0),$B127)),INDEX(db_Vals,MATCH(AF$91,db_Dates,0),$B127),NA())),NA())</f>
        <v>#N/A</v>
      </c>
      <c r="AG127" t="e">
        <f>IFERROR(IF(OR($C127="",AG$91="",AG$91&gt;c_RefDate),NA(),IF(ISNUMBER(INDEX(db_Vals,MATCH(AG$91,db_Dates,0),$B127)),INDEX(db_Vals,MATCH(AG$91,db_Dates,0),$B127),NA())),NA())</f>
        <v>#N/A</v>
      </c>
      <c r="AH127" t="e">
        <f>IFERROR(IF(OR($C127="",AH$91="",AH$91&gt;c_RefDate),NA(),IF(ISNUMBER(INDEX(db_Vals,MATCH(AH$91,db_Dates,0),$B127)),INDEX(db_Vals,MATCH(AH$91,db_Dates,0),$B127),NA())),NA())</f>
        <v>#N/A</v>
      </c>
      <c r="AI127" t="e">
        <f>IFERROR(IF(OR($C127="",AI$91="",AI$91&gt;c_RefDate),NA(),IF(ISNUMBER(INDEX(db_Vals,MATCH(AI$91,db_Dates,0),$B127)),INDEX(db_Vals,MATCH(AI$91,db_Dates,0),$B127),NA())),NA())</f>
        <v>#N/A</v>
      </c>
      <c r="AJ127" t="e">
        <f>IFERROR(IF(OR($C127="",AJ$91="",AJ$91&gt;c_RefDate),NA(),IF(ISNUMBER(INDEX(db_Vals,MATCH(AJ$91,db_Dates,0),$B127)),INDEX(db_Vals,MATCH(AJ$91,db_Dates,0),$B127),NA())),NA())</f>
        <v>#N/A</v>
      </c>
      <c r="AK127" t="e">
        <f>IFERROR(IF(OR($C127="",AK$91="",AK$91&gt;c_RefDate),NA(),IF(ISNUMBER(INDEX(db_Vals,MATCH(AK$91,db_Dates,0),$B127)),INDEX(db_Vals,MATCH(AK$91,db_Dates,0),$B127),NA())),NA())</f>
        <v>#N/A</v>
      </c>
      <c r="AL127" t="e">
        <f>IFERROR(IF(OR($C127="",AL$91="",AL$91&gt;c_RefDate),NA(),IF(ISNUMBER(INDEX(db_Vals,MATCH(AL$91,db_Dates,0),$B127)),INDEX(db_Vals,MATCH(AL$91,db_Dates,0),$B127),NA())),NA())</f>
        <v>#N/A</v>
      </c>
      <c r="AM127" t="e">
        <f>IFERROR(IF(OR($C127="",AM$91="",AM$91&gt;c_RefDate),NA(),IF(ISNUMBER(INDEX(db_Vals,MATCH(AM$91,db_Dates,0),$B127)),INDEX(db_Vals,MATCH(AM$91,db_Dates,0),$B127),NA())),NA())</f>
        <v>#N/A</v>
      </c>
      <c r="AN127" t="e">
        <f>IFERROR(IF(OR($C127="",AN$91="",AN$91&gt;c_RefDate),NA(),IF(ISNUMBER(INDEX(db_Vals,MATCH(AN$91,db_Dates,0),$B127)),INDEX(db_Vals,MATCH(AN$91,db_Dates,0),$B127),NA())),NA())</f>
        <v>#N/A</v>
      </c>
      <c r="AO127" t="e">
        <f>IFERROR(IF(OR($C127="",AO$91="",AO$91&gt;c_RefDate),NA(),IF(ISNUMBER(INDEX(db_Vals,MATCH(AO$91,db_Dates,0),$B127)),INDEX(db_Vals,MATCH(AO$91,db_Dates,0),$B127),NA())),NA())</f>
        <v>#N/A</v>
      </c>
      <c r="AP127" t="e">
        <f>IFERROR(IF(OR($C127="",AP$91="",AP$91&gt;c_RefDate),NA(),IF(ISNUMBER(INDEX(db_Vals,MATCH(AP$91,db_Dates,0),$B127)),INDEX(db_Vals,MATCH(AP$91,db_Dates,0),$B127),NA())),NA())</f>
        <v>#N/A</v>
      </c>
    </row>
    <row r="128" spans="1:42">
      <c r="A128">
        <v>37</v>
      </c>
      <c r="B128">
        <f>MATCH(LARGE($J$46:$J$85,$A128),$J$46:$J$85,0)</f>
        <v>37.0</v>
      </c>
      <c r="C128" t="str">
        <f>INDEX($B$46:$B$85,$B128)</f>
        <v/>
      </c>
      <c r="D128" t="str">
        <f>INDEX($E$46:$E$85,$B128)</f>
        <v/>
      </c>
      <c r="E128">
        <f>INDEX($I$46:$I$85,$B128)</f>
        <v>-1.0</v>
      </c>
      <c r="F128" t="str">
        <f>INDEX($H$46:$H$85,$B128)</f>
        <v/>
      </c>
      <c r="G128">
        <f>INDEX($K$46:$K$85,$B128)</f>
        <v>0.0</v>
      </c>
      <c r="H128" s="130">
        <f>INDEX($D$46:$D$85,$B128)</f>
        <v>0.0</v>
      </c>
      <c r="L128" t="e">
        <f>IFERROR(IF(OR($C128="",L$91="",L$91&gt;c_RefDate),NA(),IF(ISNUMBER(INDEX(db_Vals,MATCH(L$91,db_Dates,0),$B128)),INDEX(db_Vals,MATCH(L$91,db_Dates,0),$B128),NA())),NA())</f>
        <v>#N/A</v>
      </c>
      <c r="M128" t="e">
        <f>IFERROR(IF(OR($C128="",M$91="",M$91&gt;c_RefDate),NA(),IF(ISNUMBER(INDEX(db_Vals,MATCH(M$91,db_Dates,0),$B128)),INDEX(db_Vals,MATCH(M$91,db_Dates,0),$B128),NA())),NA())</f>
        <v>#N/A</v>
      </c>
      <c r="N128" t="e">
        <f>IFERROR(IF(OR($C128="",N$91="",N$91&gt;c_RefDate),NA(),IF(ISNUMBER(INDEX(db_Vals,MATCH(N$91,db_Dates,0),$B128)),INDEX(db_Vals,MATCH(N$91,db_Dates,0),$B128),NA())),NA())</f>
        <v>#N/A</v>
      </c>
      <c r="O128" t="e">
        <f>IFERROR(IF(OR($C128="",O$91="",O$91&gt;c_RefDate),NA(),IF(ISNUMBER(INDEX(db_Vals,MATCH(O$91,db_Dates,0),$B128)),INDEX(db_Vals,MATCH(O$91,db_Dates,0),$B128),NA())),NA())</f>
        <v>#N/A</v>
      </c>
      <c r="P128" t="e">
        <f>IFERROR(IF(OR($C128="",P$91="",P$91&gt;c_RefDate),NA(),IF(ISNUMBER(INDEX(db_Vals,MATCH(P$91,db_Dates,0),$B128)),INDEX(db_Vals,MATCH(P$91,db_Dates,0),$B128),NA())),NA())</f>
        <v>#N/A</v>
      </c>
      <c r="Q128" t="e">
        <f>IFERROR(IF(OR($C128="",Q$91="",Q$91&gt;c_RefDate),NA(),IF(ISNUMBER(INDEX(db_Vals,MATCH(Q$91,db_Dates,0),$B128)),INDEX(db_Vals,MATCH(Q$91,db_Dates,0),$B128),NA())),NA())</f>
        <v>#N/A</v>
      </c>
      <c r="R128" t="e">
        <f>IFERROR(IF(OR($C128="",R$91="",R$91&gt;c_RefDate),NA(),IF(ISNUMBER(INDEX(db_Vals,MATCH(R$91,db_Dates,0),$B128)),INDEX(db_Vals,MATCH(R$91,db_Dates,0),$B128),NA())),NA())</f>
        <v>#N/A</v>
      </c>
      <c r="S128" t="e">
        <f>IFERROR(IF(OR($C128="",S$91="",S$91&gt;c_RefDate),NA(),IF(ISNUMBER(INDEX(db_Vals,MATCH(S$91,db_Dates,0),$B128)),INDEX(db_Vals,MATCH(S$91,db_Dates,0),$B128),NA())),NA())</f>
        <v>#N/A</v>
      </c>
      <c r="T128" t="e">
        <f>IFERROR(IF(OR($C128="",T$91="",T$91&gt;c_RefDate),NA(),IF(ISNUMBER(INDEX(db_Vals,MATCH(T$91,db_Dates,0),$B128)),INDEX(db_Vals,MATCH(T$91,db_Dates,0),$B128),NA())),NA())</f>
        <v>#N/A</v>
      </c>
      <c r="U128" t="e">
        <f>IFERROR(IF(OR($C128="",U$91="",U$91&gt;c_RefDate),NA(),IF(ISNUMBER(INDEX(db_Vals,MATCH(U$91,db_Dates,0),$B128)),INDEX(db_Vals,MATCH(U$91,db_Dates,0),$B128),NA())),NA())</f>
        <v>#N/A</v>
      </c>
      <c r="V128" t="e">
        <f>IFERROR(IF(OR($C128="",V$91="",V$91&gt;c_RefDate),NA(),IF(ISNUMBER(INDEX(db_Vals,MATCH(V$91,db_Dates,0),$B128)),INDEX(db_Vals,MATCH(V$91,db_Dates,0),$B128),NA())),NA())</f>
        <v>#N/A</v>
      </c>
      <c r="W128" t="e">
        <f>IFERROR(IF(OR($C128="",W$91="",W$91&gt;c_RefDate),NA(),IF(ISNUMBER(INDEX(db_Vals,MATCH(W$91,db_Dates,0),$B128)),INDEX(db_Vals,MATCH(W$91,db_Dates,0),$B128),NA())),NA())</f>
        <v>#N/A</v>
      </c>
      <c r="X128" t="e">
        <f>IFERROR(IF(OR($C128="",X$91="",X$91&gt;c_RefDate),NA(),IF(ISNUMBER(INDEX(db_Vals,MATCH(X$91,db_Dates,0),$B128)),INDEX(db_Vals,MATCH(X$91,db_Dates,0),$B128),NA())),NA())</f>
        <v>#N/A</v>
      </c>
      <c r="Y128" t="e">
        <f>IFERROR(IF(OR($C128="",Y$91="",Y$91&gt;c_RefDate),NA(),IF(ISNUMBER(INDEX(db_Vals,MATCH(Y$91,db_Dates,0),$B128)),INDEX(db_Vals,MATCH(Y$91,db_Dates,0),$B128),NA())),NA())</f>
        <v>#N/A</v>
      </c>
      <c r="Z128" t="e">
        <f>IFERROR(IF(OR($C128="",Z$91="",Z$91&gt;c_RefDate),NA(),IF(ISNUMBER(INDEX(db_Vals,MATCH(Z$91,db_Dates,0),$B128)),INDEX(db_Vals,MATCH(Z$91,db_Dates,0),$B128),NA())),NA())</f>
        <v>#N/A</v>
      </c>
      <c r="AA128" t="e">
        <f>IFERROR(IF(OR($C128="",AA$91="",AA$91&gt;c_RefDate),NA(),IF(ISNUMBER(INDEX(db_Vals,MATCH(AA$91,db_Dates,0),$B128)),INDEX(db_Vals,MATCH(AA$91,db_Dates,0),$B128),NA())),NA())</f>
        <v>#N/A</v>
      </c>
      <c r="AB128" t="e">
        <f>IFERROR(IF(OR($C128="",AB$91="",AB$91&gt;c_RefDate),NA(),IF(ISNUMBER(INDEX(db_Vals,MATCH(AB$91,db_Dates,0),$B128)),INDEX(db_Vals,MATCH(AB$91,db_Dates,0),$B128),NA())),NA())</f>
        <v>#N/A</v>
      </c>
      <c r="AC128" t="e">
        <f>IFERROR(IF(OR($C128="",AC$91="",AC$91&gt;c_RefDate),NA(),IF(ISNUMBER(INDEX(db_Vals,MATCH(AC$91,db_Dates,0),$B128)),INDEX(db_Vals,MATCH(AC$91,db_Dates,0),$B128),NA())),NA())</f>
        <v>#N/A</v>
      </c>
      <c r="AD128" t="e">
        <f>IFERROR(IF(OR($C128="",AD$91="",AD$91&gt;c_RefDate),NA(),IF(ISNUMBER(INDEX(db_Vals,MATCH(AD$91,db_Dates,0),$B128)),INDEX(db_Vals,MATCH(AD$91,db_Dates,0),$B128),NA())),NA())</f>
        <v>#N/A</v>
      </c>
      <c r="AE128" t="e">
        <f>IFERROR(IF(OR($C128="",AE$91="",AE$91&gt;c_RefDate),NA(),IF(ISNUMBER(INDEX(db_Vals,MATCH(AE$91,db_Dates,0),$B128)),INDEX(db_Vals,MATCH(AE$91,db_Dates,0),$B128),NA())),NA())</f>
        <v>#N/A</v>
      </c>
      <c r="AF128" t="e">
        <f>IFERROR(IF(OR($C128="",AF$91="",AF$91&gt;c_RefDate),NA(),IF(ISNUMBER(INDEX(db_Vals,MATCH(AF$91,db_Dates,0),$B128)),INDEX(db_Vals,MATCH(AF$91,db_Dates,0),$B128),NA())),NA())</f>
        <v>#N/A</v>
      </c>
      <c r="AG128" t="e">
        <f>IFERROR(IF(OR($C128="",AG$91="",AG$91&gt;c_RefDate),NA(),IF(ISNUMBER(INDEX(db_Vals,MATCH(AG$91,db_Dates,0),$B128)),INDEX(db_Vals,MATCH(AG$91,db_Dates,0),$B128),NA())),NA())</f>
        <v>#N/A</v>
      </c>
      <c r="AH128" t="e">
        <f>IFERROR(IF(OR($C128="",AH$91="",AH$91&gt;c_RefDate),NA(),IF(ISNUMBER(INDEX(db_Vals,MATCH(AH$91,db_Dates,0),$B128)),INDEX(db_Vals,MATCH(AH$91,db_Dates,0),$B128),NA())),NA())</f>
        <v>#N/A</v>
      </c>
      <c r="AI128" t="e">
        <f>IFERROR(IF(OR($C128="",AI$91="",AI$91&gt;c_RefDate),NA(),IF(ISNUMBER(INDEX(db_Vals,MATCH(AI$91,db_Dates,0),$B128)),INDEX(db_Vals,MATCH(AI$91,db_Dates,0),$B128),NA())),NA())</f>
        <v>#N/A</v>
      </c>
      <c r="AJ128" t="e">
        <f>IFERROR(IF(OR($C128="",AJ$91="",AJ$91&gt;c_RefDate),NA(),IF(ISNUMBER(INDEX(db_Vals,MATCH(AJ$91,db_Dates,0),$B128)),INDEX(db_Vals,MATCH(AJ$91,db_Dates,0),$B128),NA())),NA())</f>
        <v>#N/A</v>
      </c>
      <c r="AK128" t="e">
        <f>IFERROR(IF(OR($C128="",AK$91="",AK$91&gt;c_RefDate),NA(),IF(ISNUMBER(INDEX(db_Vals,MATCH(AK$91,db_Dates,0),$B128)),INDEX(db_Vals,MATCH(AK$91,db_Dates,0),$B128),NA())),NA())</f>
        <v>#N/A</v>
      </c>
      <c r="AL128" t="e">
        <f>IFERROR(IF(OR($C128="",AL$91="",AL$91&gt;c_RefDate),NA(),IF(ISNUMBER(INDEX(db_Vals,MATCH(AL$91,db_Dates,0),$B128)),INDEX(db_Vals,MATCH(AL$91,db_Dates,0),$B128),NA())),NA())</f>
        <v>#N/A</v>
      </c>
      <c r="AM128" t="e">
        <f>IFERROR(IF(OR($C128="",AM$91="",AM$91&gt;c_RefDate),NA(),IF(ISNUMBER(INDEX(db_Vals,MATCH(AM$91,db_Dates,0),$B128)),INDEX(db_Vals,MATCH(AM$91,db_Dates,0),$B128),NA())),NA())</f>
        <v>#N/A</v>
      </c>
      <c r="AN128" t="e">
        <f>IFERROR(IF(OR($C128="",AN$91="",AN$91&gt;c_RefDate),NA(),IF(ISNUMBER(INDEX(db_Vals,MATCH(AN$91,db_Dates,0),$B128)),INDEX(db_Vals,MATCH(AN$91,db_Dates,0),$B128),NA())),NA())</f>
        <v>#N/A</v>
      </c>
      <c r="AO128" t="e">
        <f>IFERROR(IF(OR($C128="",AO$91="",AO$91&gt;c_RefDate),NA(),IF(ISNUMBER(INDEX(db_Vals,MATCH(AO$91,db_Dates,0),$B128)),INDEX(db_Vals,MATCH(AO$91,db_Dates,0),$B128),NA())),NA())</f>
        <v>#N/A</v>
      </c>
      <c r="AP128" t="e">
        <f>IFERROR(IF(OR($C128="",AP$91="",AP$91&gt;c_RefDate),NA(),IF(ISNUMBER(INDEX(db_Vals,MATCH(AP$91,db_Dates,0),$B128)),INDEX(db_Vals,MATCH(AP$91,db_Dates,0),$B128),NA())),NA())</f>
        <v>#N/A</v>
      </c>
    </row>
    <row r="129" spans="1:42">
      <c r="A129">
        <v>38</v>
      </c>
      <c r="B129">
        <f>MATCH(LARGE($J$46:$J$85,$A129),$J$46:$J$85,0)</f>
        <v>38.0</v>
      </c>
      <c r="C129" t="str">
        <f>INDEX($B$46:$B$85,$B129)</f>
        <v/>
      </c>
      <c r="D129" t="str">
        <f>INDEX($E$46:$E$85,$B129)</f>
        <v/>
      </c>
      <c r="E129">
        <f>INDEX($I$46:$I$85,$B129)</f>
        <v>-1.0</v>
      </c>
      <c r="F129" t="str">
        <f>INDEX($H$46:$H$85,$B129)</f>
        <v/>
      </c>
      <c r="G129">
        <f>INDEX($K$46:$K$85,$B129)</f>
        <v>0.0</v>
      </c>
      <c r="H129" s="130">
        <f>INDEX($D$46:$D$85,$B129)</f>
        <v>0.0</v>
      </c>
      <c r="L129" t="e">
        <f>IFERROR(IF(OR($C129="",L$91="",L$91&gt;c_RefDate),NA(),IF(ISNUMBER(INDEX(db_Vals,MATCH(L$91,db_Dates,0),$B129)),INDEX(db_Vals,MATCH(L$91,db_Dates,0),$B129),NA())),NA())</f>
        <v>#N/A</v>
      </c>
      <c r="M129" t="e">
        <f>IFERROR(IF(OR($C129="",M$91="",M$91&gt;c_RefDate),NA(),IF(ISNUMBER(INDEX(db_Vals,MATCH(M$91,db_Dates,0),$B129)),INDEX(db_Vals,MATCH(M$91,db_Dates,0),$B129),NA())),NA())</f>
        <v>#N/A</v>
      </c>
      <c r="N129" t="e">
        <f>IFERROR(IF(OR($C129="",N$91="",N$91&gt;c_RefDate),NA(),IF(ISNUMBER(INDEX(db_Vals,MATCH(N$91,db_Dates,0),$B129)),INDEX(db_Vals,MATCH(N$91,db_Dates,0),$B129),NA())),NA())</f>
        <v>#N/A</v>
      </c>
      <c r="O129" t="e">
        <f>IFERROR(IF(OR($C129="",O$91="",O$91&gt;c_RefDate),NA(),IF(ISNUMBER(INDEX(db_Vals,MATCH(O$91,db_Dates,0),$B129)),INDEX(db_Vals,MATCH(O$91,db_Dates,0),$B129),NA())),NA())</f>
        <v>#N/A</v>
      </c>
      <c r="P129" t="e">
        <f>IFERROR(IF(OR($C129="",P$91="",P$91&gt;c_RefDate),NA(),IF(ISNUMBER(INDEX(db_Vals,MATCH(P$91,db_Dates,0),$B129)),INDEX(db_Vals,MATCH(P$91,db_Dates,0),$B129),NA())),NA())</f>
        <v>#N/A</v>
      </c>
      <c r="Q129" t="e">
        <f>IFERROR(IF(OR($C129="",Q$91="",Q$91&gt;c_RefDate),NA(),IF(ISNUMBER(INDEX(db_Vals,MATCH(Q$91,db_Dates,0),$B129)),INDEX(db_Vals,MATCH(Q$91,db_Dates,0),$B129),NA())),NA())</f>
        <v>#N/A</v>
      </c>
      <c r="R129" t="e">
        <f>IFERROR(IF(OR($C129="",R$91="",R$91&gt;c_RefDate),NA(),IF(ISNUMBER(INDEX(db_Vals,MATCH(R$91,db_Dates,0),$B129)),INDEX(db_Vals,MATCH(R$91,db_Dates,0),$B129),NA())),NA())</f>
        <v>#N/A</v>
      </c>
      <c r="S129" t="e">
        <f>IFERROR(IF(OR($C129="",S$91="",S$91&gt;c_RefDate),NA(),IF(ISNUMBER(INDEX(db_Vals,MATCH(S$91,db_Dates,0),$B129)),INDEX(db_Vals,MATCH(S$91,db_Dates,0),$B129),NA())),NA())</f>
        <v>#N/A</v>
      </c>
      <c r="T129" t="e">
        <f>IFERROR(IF(OR($C129="",T$91="",T$91&gt;c_RefDate),NA(),IF(ISNUMBER(INDEX(db_Vals,MATCH(T$91,db_Dates,0),$B129)),INDEX(db_Vals,MATCH(T$91,db_Dates,0),$B129),NA())),NA())</f>
        <v>#N/A</v>
      </c>
      <c r="U129" t="e">
        <f>IFERROR(IF(OR($C129="",U$91="",U$91&gt;c_RefDate),NA(),IF(ISNUMBER(INDEX(db_Vals,MATCH(U$91,db_Dates,0),$B129)),INDEX(db_Vals,MATCH(U$91,db_Dates,0),$B129),NA())),NA())</f>
        <v>#N/A</v>
      </c>
      <c r="V129" t="e">
        <f>IFERROR(IF(OR($C129="",V$91="",V$91&gt;c_RefDate),NA(),IF(ISNUMBER(INDEX(db_Vals,MATCH(V$91,db_Dates,0),$B129)),INDEX(db_Vals,MATCH(V$91,db_Dates,0),$B129),NA())),NA())</f>
        <v>#N/A</v>
      </c>
      <c r="W129" t="e">
        <f>IFERROR(IF(OR($C129="",W$91="",W$91&gt;c_RefDate),NA(),IF(ISNUMBER(INDEX(db_Vals,MATCH(W$91,db_Dates,0),$B129)),INDEX(db_Vals,MATCH(W$91,db_Dates,0),$B129),NA())),NA())</f>
        <v>#N/A</v>
      </c>
      <c r="X129" t="e">
        <f>IFERROR(IF(OR($C129="",X$91="",X$91&gt;c_RefDate),NA(),IF(ISNUMBER(INDEX(db_Vals,MATCH(X$91,db_Dates,0),$B129)),INDEX(db_Vals,MATCH(X$91,db_Dates,0),$B129),NA())),NA())</f>
        <v>#N/A</v>
      </c>
      <c r="Y129" t="e">
        <f>IFERROR(IF(OR($C129="",Y$91="",Y$91&gt;c_RefDate),NA(),IF(ISNUMBER(INDEX(db_Vals,MATCH(Y$91,db_Dates,0),$B129)),INDEX(db_Vals,MATCH(Y$91,db_Dates,0),$B129),NA())),NA())</f>
        <v>#N/A</v>
      </c>
      <c r="Z129" t="e">
        <f>IFERROR(IF(OR($C129="",Z$91="",Z$91&gt;c_RefDate),NA(),IF(ISNUMBER(INDEX(db_Vals,MATCH(Z$91,db_Dates,0),$B129)),INDEX(db_Vals,MATCH(Z$91,db_Dates,0),$B129),NA())),NA())</f>
        <v>#N/A</v>
      </c>
      <c r="AA129" t="e">
        <f>IFERROR(IF(OR($C129="",AA$91="",AA$91&gt;c_RefDate),NA(),IF(ISNUMBER(INDEX(db_Vals,MATCH(AA$91,db_Dates,0),$B129)),INDEX(db_Vals,MATCH(AA$91,db_Dates,0),$B129),NA())),NA())</f>
        <v>#N/A</v>
      </c>
      <c r="AB129" t="e">
        <f>IFERROR(IF(OR($C129="",AB$91="",AB$91&gt;c_RefDate),NA(),IF(ISNUMBER(INDEX(db_Vals,MATCH(AB$91,db_Dates,0),$B129)),INDEX(db_Vals,MATCH(AB$91,db_Dates,0),$B129),NA())),NA())</f>
        <v>#N/A</v>
      </c>
      <c r="AC129" t="e">
        <f>IFERROR(IF(OR($C129="",AC$91="",AC$91&gt;c_RefDate),NA(),IF(ISNUMBER(INDEX(db_Vals,MATCH(AC$91,db_Dates,0),$B129)),INDEX(db_Vals,MATCH(AC$91,db_Dates,0),$B129),NA())),NA())</f>
        <v>#N/A</v>
      </c>
      <c r="AD129" t="e">
        <f>IFERROR(IF(OR($C129="",AD$91="",AD$91&gt;c_RefDate),NA(),IF(ISNUMBER(INDEX(db_Vals,MATCH(AD$91,db_Dates,0),$B129)),INDEX(db_Vals,MATCH(AD$91,db_Dates,0),$B129),NA())),NA())</f>
        <v>#N/A</v>
      </c>
      <c r="AE129" t="e">
        <f>IFERROR(IF(OR($C129="",AE$91="",AE$91&gt;c_RefDate),NA(),IF(ISNUMBER(INDEX(db_Vals,MATCH(AE$91,db_Dates,0),$B129)),INDEX(db_Vals,MATCH(AE$91,db_Dates,0),$B129),NA())),NA())</f>
        <v>#N/A</v>
      </c>
      <c r="AF129" t="e">
        <f>IFERROR(IF(OR($C129="",AF$91="",AF$91&gt;c_RefDate),NA(),IF(ISNUMBER(INDEX(db_Vals,MATCH(AF$91,db_Dates,0),$B129)),INDEX(db_Vals,MATCH(AF$91,db_Dates,0),$B129),NA())),NA())</f>
        <v>#N/A</v>
      </c>
      <c r="AG129" t="e">
        <f>IFERROR(IF(OR($C129="",AG$91="",AG$91&gt;c_RefDate),NA(),IF(ISNUMBER(INDEX(db_Vals,MATCH(AG$91,db_Dates,0),$B129)),INDEX(db_Vals,MATCH(AG$91,db_Dates,0),$B129),NA())),NA())</f>
        <v>#N/A</v>
      </c>
      <c r="AH129" t="e">
        <f>IFERROR(IF(OR($C129="",AH$91="",AH$91&gt;c_RefDate),NA(),IF(ISNUMBER(INDEX(db_Vals,MATCH(AH$91,db_Dates,0),$B129)),INDEX(db_Vals,MATCH(AH$91,db_Dates,0),$B129),NA())),NA())</f>
        <v>#N/A</v>
      </c>
      <c r="AI129" t="e">
        <f>IFERROR(IF(OR($C129="",AI$91="",AI$91&gt;c_RefDate),NA(),IF(ISNUMBER(INDEX(db_Vals,MATCH(AI$91,db_Dates,0),$B129)),INDEX(db_Vals,MATCH(AI$91,db_Dates,0),$B129),NA())),NA())</f>
        <v>#N/A</v>
      </c>
      <c r="AJ129" t="e">
        <f>IFERROR(IF(OR($C129="",AJ$91="",AJ$91&gt;c_RefDate),NA(),IF(ISNUMBER(INDEX(db_Vals,MATCH(AJ$91,db_Dates,0),$B129)),INDEX(db_Vals,MATCH(AJ$91,db_Dates,0),$B129),NA())),NA())</f>
        <v>#N/A</v>
      </c>
      <c r="AK129" t="e">
        <f>IFERROR(IF(OR($C129="",AK$91="",AK$91&gt;c_RefDate),NA(),IF(ISNUMBER(INDEX(db_Vals,MATCH(AK$91,db_Dates,0),$B129)),INDEX(db_Vals,MATCH(AK$91,db_Dates,0),$B129),NA())),NA())</f>
        <v>#N/A</v>
      </c>
      <c r="AL129" t="e">
        <f>IFERROR(IF(OR($C129="",AL$91="",AL$91&gt;c_RefDate),NA(),IF(ISNUMBER(INDEX(db_Vals,MATCH(AL$91,db_Dates,0),$B129)),INDEX(db_Vals,MATCH(AL$91,db_Dates,0),$B129),NA())),NA())</f>
        <v>#N/A</v>
      </c>
      <c r="AM129" t="e">
        <f>IFERROR(IF(OR($C129="",AM$91="",AM$91&gt;c_RefDate),NA(),IF(ISNUMBER(INDEX(db_Vals,MATCH(AM$91,db_Dates,0),$B129)),INDEX(db_Vals,MATCH(AM$91,db_Dates,0),$B129),NA())),NA())</f>
        <v>#N/A</v>
      </c>
      <c r="AN129" t="e">
        <f>IFERROR(IF(OR($C129="",AN$91="",AN$91&gt;c_RefDate),NA(),IF(ISNUMBER(INDEX(db_Vals,MATCH(AN$91,db_Dates,0),$B129)),INDEX(db_Vals,MATCH(AN$91,db_Dates,0),$B129),NA())),NA())</f>
        <v>#N/A</v>
      </c>
      <c r="AO129" t="e">
        <f>IFERROR(IF(OR($C129="",AO$91="",AO$91&gt;c_RefDate),NA(),IF(ISNUMBER(INDEX(db_Vals,MATCH(AO$91,db_Dates,0),$B129)),INDEX(db_Vals,MATCH(AO$91,db_Dates,0),$B129),NA())),NA())</f>
        <v>#N/A</v>
      </c>
      <c r="AP129" t="e">
        <f>IFERROR(IF(OR($C129="",AP$91="",AP$91&gt;c_RefDate),NA(),IF(ISNUMBER(INDEX(db_Vals,MATCH(AP$91,db_Dates,0),$B129)),INDEX(db_Vals,MATCH(AP$91,db_Dates,0),$B129),NA())),NA())</f>
        <v>#N/A</v>
      </c>
    </row>
    <row r="130" spans="1:42">
      <c r="A130">
        <v>39</v>
      </c>
      <c r="B130">
        <f>MATCH(LARGE($J$46:$J$85,$A130),$J$46:$J$85,0)</f>
        <v>39.0</v>
      </c>
      <c r="C130" t="str">
        <f>INDEX($B$46:$B$85,$B130)</f>
        <v/>
      </c>
      <c r="D130" t="str">
        <f>INDEX($E$46:$E$85,$B130)</f>
        <v/>
      </c>
      <c r="E130">
        <f>INDEX($I$46:$I$85,$B130)</f>
        <v>-1.0</v>
      </c>
      <c r="F130" t="str">
        <f>INDEX($H$46:$H$85,$B130)</f>
        <v/>
      </c>
      <c r="G130">
        <f>INDEX($K$46:$K$85,$B130)</f>
        <v>0.0</v>
      </c>
      <c r="H130" s="130">
        <f>INDEX($D$46:$D$85,$B130)</f>
        <v>0.0</v>
      </c>
      <c r="L130" t="e">
        <f>IFERROR(IF(OR($C130="",L$91="",L$91&gt;c_RefDate),NA(),IF(ISNUMBER(INDEX(db_Vals,MATCH(L$91,db_Dates,0),$B130)),INDEX(db_Vals,MATCH(L$91,db_Dates,0),$B130),NA())),NA())</f>
        <v>#N/A</v>
      </c>
      <c r="M130" t="e">
        <f>IFERROR(IF(OR($C130="",M$91="",M$91&gt;c_RefDate),NA(),IF(ISNUMBER(INDEX(db_Vals,MATCH(M$91,db_Dates,0),$B130)),INDEX(db_Vals,MATCH(M$91,db_Dates,0),$B130),NA())),NA())</f>
        <v>#N/A</v>
      </c>
      <c r="N130" t="e">
        <f>IFERROR(IF(OR($C130="",N$91="",N$91&gt;c_RefDate),NA(),IF(ISNUMBER(INDEX(db_Vals,MATCH(N$91,db_Dates,0),$B130)),INDEX(db_Vals,MATCH(N$91,db_Dates,0),$B130),NA())),NA())</f>
        <v>#N/A</v>
      </c>
      <c r="O130" t="e">
        <f>IFERROR(IF(OR($C130="",O$91="",O$91&gt;c_RefDate),NA(),IF(ISNUMBER(INDEX(db_Vals,MATCH(O$91,db_Dates,0),$B130)),INDEX(db_Vals,MATCH(O$91,db_Dates,0),$B130),NA())),NA())</f>
        <v>#N/A</v>
      </c>
      <c r="P130" t="e">
        <f>IFERROR(IF(OR($C130="",P$91="",P$91&gt;c_RefDate),NA(),IF(ISNUMBER(INDEX(db_Vals,MATCH(P$91,db_Dates,0),$B130)),INDEX(db_Vals,MATCH(P$91,db_Dates,0),$B130),NA())),NA())</f>
        <v>#N/A</v>
      </c>
      <c r="Q130" t="e">
        <f>IFERROR(IF(OR($C130="",Q$91="",Q$91&gt;c_RefDate),NA(),IF(ISNUMBER(INDEX(db_Vals,MATCH(Q$91,db_Dates,0),$B130)),INDEX(db_Vals,MATCH(Q$91,db_Dates,0),$B130),NA())),NA())</f>
        <v>#N/A</v>
      </c>
      <c r="R130" t="e">
        <f>IFERROR(IF(OR($C130="",R$91="",R$91&gt;c_RefDate),NA(),IF(ISNUMBER(INDEX(db_Vals,MATCH(R$91,db_Dates,0),$B130)),INDEX(db_Vals,MATCH(R$91,db_Dates,0),$B130),NA())),NA())</f>
        <v>#N/A</v>
      </c>
      <c r="S130" t="e">
        <f>IFERROR(IF(OR($C130="",S$91="",S$91&gt;c_RefDate),NA(),IF(ISNUMBER(INDEX(db_Vals,MATCH(S$91,db_Dates,0),$B130)),INDEX(db_Vals,MATCH(S$91,db_Dates,0),$B130),NA())),NA())</f>
        <v>#N/A</v>
      </c>
      <c r="T130" t="e">
        <f>IFERROR(IF(OR($C130="",T$91="",T$91&gt;c_RefDate),NA(),IF(ISNUMBER(INDEX(db_Vals,MATCH(T$91,db_Dates,0),$B130)),INDEX(db_Vals,MATCH(T$91,db_Dates,0),$B130),NA())),NA())</f>
        <v>#N/A</v>
      </c>
      <c r="U130" t="e">
        <f>IFERROR(IF(OR($C130="",U$91="",U$91&gt;c_RefDate),NA(),IF(ISNUMBER(INDEX(db_Vals,MATCH(U$91,db_Dates,0),$B130)),INDEX(db_Vals,MATCH(U$91,db_Dates,0),$B130),NA())),NA())</f>
        <v>#N/A</v>
      </c>
      <c r="V130" t="e">
        <f>IFERROR(IF(OR($C130="",V$91="",V$91&gt;c_RefDate),NA(),IF(ISNUMBER(INDEX(db_Vals,MATCH(V$91,db_Dates,0),$B130)),INDEX(db_Vals,MATCH(V$91,db_Dates,0),$B130),NA())),NA())</f>
        <v>#N/A</v>
      </c>
      <c r="W130" t="e">
        <f>IFERROR(IF(OR($C130="",W$91="",W$91&gt;c_RefDate),NA(),IF(ISNUMBER(INDEX(db_Vals,MATCH(W$91,db_Dates,0),$B130)),INDEX(db_Vals,MATCH(W$91,db_Dates,0),$B130),NA())),NA())</f>
        <v>#N/A</v>
      </c>
      <c r="X130" t="e">
        <f>IFERROR(IF(OR($C130="",X$91="",X$91&gt;c_RefDate),NA(),IF(ISNUMBER(INDEX(db_Vals,MATCH(X$91,db_Dates,0),$B130)),INDEX(db_Vals,MATCH(X$91,db_Dates,0),$B130),NA())),NA())</f>
        <v>#N/A</v>
      </c>
      <c r="Y130" t="e">
        <f>IFERROR(IF(OR($C130="",Y$91="",Y$91&gt;c_RefDate),NA(),IF(ISNUMBER(INDEX(db_Vals,MATCH(Y$91,db_Dates,0),$B130)),INDEX(db_Vals,MATCH(Y$91,db_Dates,0),$B130),NA())),NA())</f>
        <v>#N/A</v>
      </c>
      <c r="Z130" t="e">
        <f>IFERROR(IF(OR($C130="",Z$91="",Z$91&gt;c_RefDate),NA(),IF(ISNUMBER(INDEX(db_Vals,MATCH(Z$91,db_Dates,0),$B130)),INDEX(db_Vals,MATCH(Z$91,db_Dates,0),$B130),NA())),NA())</f>
        <v>#N/A</v>
      </c>
      <c r="AA130" t="e">
        <f>IFERROR(IF(OR($C130="",AA$91="",AA$91&gt;c_RefDate),NA(),IF(ISNUMBER(INDEX(db_Vals,MATCH(AA$91,db_Dates,0),$B130)),INDEX(db_Vals,MATCH(AA$91,db_Dates,0),$B130),NA())),NA())</f>
        <v>#N/A</v>
      </c>
      <c r="AB130" t="e">
        <f>IFERROR(IF(OR($C130="",AB$91="",AB$91&gt;c_RefDate),NA(),IF(ISNUMBER(INDEX(db_Vals,MATCH(AB$91,db_Dates,0),$B130)),INDEX(db_Vals,MATCH(AB$91,db_Dates,0),$B130),NA())),NA())</f>
        <v>#N/A</v>
      </c>
      <c r="AC130" t="e">
        <f>IFERROR(IF(OR($C130="",AC$91="",AC$91&gt;c_RefDate),NA(),IF(ISNUMBER(INDEX(db_Vals,MATCH(AC$91,db_Dates,0),$B130)),INDEX(db_Vals,MATCH(AC$91,db_Dates,0),$B130),NA())),NA())</f>
        <v>#N/A</v>
      </c>
      <c r="AD130" t="e">
        <f>IFERROR(IF(OR($C130="",AD$91="",AD$91&gt;c_RefDate),NA(),IF(ISNUMBER(INDEX(db_Vals,MATCH(AD$91,db_Dates,0),$B130)),INDEX(db_Vals,MATCH(AD$91,db_Dates,0),$B130),NA())),NA())</f>
        <v>#N/A</v>
      </c>
      <c r="AE130" t="e">
        <f>IFERROR(IF(OR($C130="",AE$91="",AE$91&gt;c_RefDate),NA(),IF(ISNUMBER(INDEX(db_Vals,MATCH(AE$91,db_Dates,0),$B130)),INDEX(db_Vals,MATCH(AE$91,db_Dates,0),$B130),NA())),NA())</f>
        <v>#N/A</v>
      </c>
      <c r="AF130" t="e">
        <f>IFERROR(IF(OR($C130="",AF$91="",AF$91&gt;c_RefDate),NA(),IF(ISNUMBER(INDEX(db_Vals,MATCH(AF$91,db_Dates,0),$B130)),INDEX(db_Vals,MATCH(AF$91,db_Dates,0),$B130),NA())),NA())</f>
        <v>#N/A</v>
      </c>
      <c r="AG130" t="e">
        <f>IFERROR(IF(OR($C130="",AG$91="",AG$91&gt;c_RefDate),NA(),IF(ISNUMBER(INDEX(db_Vals,MATCH(AG$91,db_Dates,0),$B130)),INDEX(db_Vals,MATCH(AG$91,db_Dates,0),$B130),NA())),NA())</f>
        <v>#N/A</v>
      </c>
      <c r="AH130" t="e">
        <f>IFERROR(IF(OR($C130="",AH$91="",AH$91&gt;c_RefDate),NA(),IF(ISNUMBER(INDEX(db_Vals,MATCH(AH$91,db_Dates,0),$B130)),INDEX(db_Vals,MATCH(AH$91,db_Dates,0),$B130),NA())),NA())</f>
        <v>#N/A</v>
      </c>
      <c r="AI130" t="e">
        <f>IFERROR(IF(OR($C130="",AI$91="",AI$91&gt;c_RefDate),NA(),IF(ISNUMBER(INDEX(db_Vals,MATCH(AI$91,db_Dates,0),$B130)),INDEX(db_Vals,MATCH(AI$91,db_Dates,0),$B130),NA())),NA())</f>
        <v>#N/A</v>
      </c>
      <c r="AJ130" t="e">
        <f>IFERROR(IF(OR($C130="",AJ$91="",AJ$91&gt;c_RefDate),NA(),IF(ISNUMBER(INDEX(db_Vals,MATCH(AJ$91,db_Dates,0),$B130)),INDEX(db_Vals,MATCH(AJ$91,db_Dates,0),$B130),NA())),NA())</f>
        <v>#N/A</v>
      </c>
      <c r="AK130" t="e">
        <f>IFERROR(IF(OR($C130="",AK$91="",AK$91&gt;c_RefDate),NA(),IF(ISNUMBER(INDEX(db_Vals,MATCH(AK$91,db_Dates,0),$B130)),INDEX(db_Vals,MATCH(AK$91,db_Dates,0),$B130),NA())),NA())</f>
        <v>#N/A</v>
      </c>
      <c r="AL130" t="e">
        <f>IFERROR(IF(OR($C130="",AL$91="",AL$91&gt;c_RefDate),NA(),IF(ISNUMBER(INDEX(db_Vals,MATCH(AL$91,db_Dates,0),$B130)),INDEX(db_Vals,MATCH(AL$91,db_Dates,0),$B130),NA())),NA())</f>
        <v>#N/A</v>
      </c>
      <c r="AM130" t="e">
        <f>IFERROR(IF(OR($C130="",AM$91="",AM$91&gt;c_RefDate),NA(),IF(ISNUMBER(INDEX(db_Vals,MATCH(AM$91,db_Dates,0),$B130)),INDEX(db_Vals,MATCH(AM$91,db_Dates,0),$B130),NA())),NA())</f>
        <v>#N/A</v>
      </c>
      <c r="AN130" t="e">
        <f>IFERROR(IF(OR($C130="",AN$91="",AN$91&gt;c_RefDate),NA(),IF(ISNUMBER(INDEX(db_Vals,MATCH(AN$91,db_Dates,0),$B130)),INDEX(db_Vals,MATCH(AN$91,db_Dates,0),$B130),NA())),NA())</f>
        <v>#N/A</v>
      </c>
      <c r="AO130" t="e">
        <f>IFERROR(IF(OR($C130="",AO$91="",AO$91&gt;c_RefDate),NA(),IF(ISNUMBER(INDEX(db_Vals,MATCH(AO$91,db_Dates,0),$B130)),INDEX(db_Vals,MATCH(AO$91,db_Dates,0),$B130),NA())),NA())</f>
        <v>#N/A</v>
      </c>
      <c r="AP130" t="e">
        <f>IFERROR(IF(OR($C130="",AP$91="",AP$91&gt;c_RefDate),NA(),IF(ISNUMBER(INDEX(db_Vals,MATCH(AP$91,db_Dates,0),$B130)),INDEX(db_Vals,MATCH(AP$91,db_Dates,0),$B130),NA())),NA())</f>
        <v>#N/A</v>
      </c>
    </row>
    <row r="131" spans="1:42">
      <c r="A131">
        <v>40</v>
      </c>
      <c r="B131">
        <f>MATCH(LARGE($J$46:$J$85,$A131),$J$46:$J$85,0)</f>
        <v>40.0</v>
      </c>
      <c r="C131" t="str">
        <f>INDEX($B$46:$B$85,$B131)</f>
        <v/>
      </c>
      <c r="D131" t="str">
        <f>INDEX($E$46:$E$85,$B131)</f>
        <v/>
      </c>
      <c r="E131">
        <f>INDEX($I$46:$I$85,$B131)</f>
        <v>-1.0</v>
      </c>
      <c r="F131" t="str">
        <f>INDEX($H$46:$H$85,$B131)</f>
        <v/>
      </c>
      <c r="G131">
        <f>INDEX($K$46:$K$85,$B131)</f>
        <v>0.0</v>
      </c>
      <c r="H131" s="130">
        <f>INDEX($D$46:$D$85,$B131)</f>
        <v>0.0</v>
      </c>
      <c r="L131" t="e">
        <f>IFERROR(IF(OR($C131="",L$91="",L$91&gt;c_RefDate),NA(),IF(ISNUMBER(INDEX(db_Vals,MATCH(L$91,db_Dates,0),$B131)),INDEX(db_Vals,MATCH(L$91,db_Dates,0),$B131),NA())),NA())</f>
        <v>#N/A</v>
      </c>
      <c r="M131" t="e">
        <f>IFERROR(IF(OR($C131="",M$91="",M$91&gt;c_RefDate),NA(),IF(ISNUMBER(INDEX(db_Vals,MATCH(M$91,db_Dates,0),$B131)),INDEX(db_Vals,MATCH(M$91,db_Dates,0),$B131),NA())),NA())</f>
        <v>#N/A</v>
      </c>
      <c r="N131" t="e">
        <f>IFERROR(IF(OR($C131="",N$91="",N$91&gt;c_RefDate),NA(),IF(ISNUMBER(INDEX(db_Vals,MATCH(N$91,db_Dates,0),$B131)),INDEX(db_Vals,MATCH(N$91,db_Dates,0),$B131),NA())),NA())</f>
        <v>#N/A</v>
      </c>
      <c r="O131" t="e">
        <f>IFERROR(IF(OR($C131="",O$91="",O$91&gt;c_RefDate),NA(),IF(ISNUMBER(INDEX(db_Vals,MATCH(O$91,db_Dates,0),$B131)),INDEX(db_Vals,MATCH(O$91,db_Dates,0),$B131),NA())),NA())</f>
        <v>#N/A</v>
      </c>
      <c r="P131" t="e">
        <f>IFERROR(IF(OR($C131="",P$91="",P$91&gt;c_RefDate),NA(),IF(ISNUMBER(INDEX(db_Vals,MATCH(P$91,db_Dates,0),$B131)),INDEX(db_Vals,MATCH(P$91,db_Dates,0),$B131),NA())),NA())</f>
        <v>#N/A</v>
      </c>
      <c r="Q131" t="e">
        <f>IFERROR(IF(OR($C131="",Q$91="",Q$91&gt;c_RefDate),NA(),IF(ISNUMBER(INDEX(db_Vals,MATCH(Q$91,db_Dates,0),$B131)),INDEX(db_Vals,MATCH(Q$91,db_Dates,0),$B131),NA())),NA())</f>
        <v>#N/A</v>
      </c>
      <c r="R131" t="e">
        <f>IFERROR(IF(OR($C131="",R$91="",R$91&gt;c_RefDate),NA(),IF(ISNUMBER(INDEX(db_Vals,MATCH(R$91,db_Dates,0),$B131)),INDEX(db_Vals,MATCH(R$91,db_Dates,0),$B131),NA())),NA())</f>
        <v>#N/A</v>
      </c>
      <c r="S131" t="e">
        <f>IFERROR(IF(OR($C131="",S$91="",S$91&gt;c_RefDate),NA(),IF(ISNUMBER(INDEX(db_Vals,MATCH(S$91,db_Dates,0),$B131)),INDEX(db_Vals,MATCH(S$91,db_Dates,0),$B131),NA())),NA())</f>
        <v>#N/A</v>
      </c>
      <c r="T131" t="e">
        <f>IFERROR(IF(OR($C131="",T$91="",T$91&gt;c_RefDate),NA(),IF(ISNUMBER(INDEX(db_Vals,MATCH(T$91,db_Dates,0),$B131)),INDEX(db_Vals,MATCH(T$91,db_Dates,0),$B131),NA())),NA())</f>
        <v>#N/A</v>
      </c>
      <c r="U131" t="e">
        <f>IFERROR(IF(OR($C131="",U$91="",U$91&gt;c_RefDate),NA(),IF(ISNUMBER(INDEX(db_Vals,MATCH(U$91,db_Dates,0),$B131)),INDEX(db_Vals,MATCH(U$91,db_Dates,0),$B131),NA())),NA())</f>
        <v>#N/A</v>
      </c>
      <c r="V131" t="e">
        <f>IFERROR(IF(OR($C131="",V$91="",V$91&gt;c_RefDate),NA(),IF(ISNUMBER(INDEX(db_Vals,MATCH(V$91,db_Dates,0),$B131)),INDEX(db_Vals,MATCH(V$91,db_Dates,0),$B131),NA())),NA())</f>
        <v>#N/A</v>
      </c>
      <c r="W131" t="e">
        <f>IFERROR(IF(OR($C131="",W$91="",W$91&gt;c_RefDate),NA(),IF(ISNUMBER(INDEX(db_Vals,MATCH(W$91,db_Dates,0),$B131)),INDEX(db_Vals,MATCH(W$91,db_Dates,0),$B131),NA())),NA())</f>
        <v>#N/A</v>
      </c>
      <c r="X131" t="e">
        <f>IFERROR(IF(OR($C131="",X$91="",X$91&gt;c_RefDate),NA(),IF(ISNUMBER(INDEX(db_Vals,MATCH(X$91,db_Dates,0),$B131)),INDEX(db_Vals,MATCH(X$91,db_Dates,0),$B131),NA())),NA())</f>
        <v>#N/A</v>
      </c>
      <c r="Y131" t="e">
        <f>IFERROR(IF(OR($C131="",Y$91="",Y$91&gt;c_RefDate),NA(),IF(ISNUMBER(INDEX(db_Vals,MATCH(Y$91,db_Dates,0),$B131)),INDEX(db_Vals,MATCH(Y$91,db_Dates,0),$B131),NA())),NA())</f>
        <v>#N/A</v>
      </c>
      <c r="Z131" t="e">
        <f>IFERROR(IF(OR($C131="",Z$91="",Z$91&gt;c_RefDate),NA(),IF(ISNUMBER(INDEX(db_Vals,MATCH(Z$91,db_Dates,0),$B131)),INDEX(db_Vals,MATCH(Z$91,db_Dates,0),$B131),NA())),NA())</f>
        <v>#N/A</v>
      </c>
      <c r="AA131" t="e">
        <f>IFERROR(IF(OR($C131="",AA$91="",AA$91&gt;c_RefDate),NA(),IF(ISNUMBER(INDEX(db_Vals,MATCH(AA$91,db_Dates,0),$B131)),INDEX(db_Vals,MATCH(AA$91,db_Dates,0),$B131),NA())),NA())</f>
        <v>#N/A</v>
      </c>
      <c r="AB131" t="e">
        <f>IFERROR(IF(OR($C131="",AB$91="",AB$91&gt;c_RefDate),NA(),IF(ISNUMBER(INDEX(db_Vals,MATCH(AB$91,db_Dates,0),$B131)),INDEX(db_Vals,MATCH(AB$91,db_Dates,0),$B131),NA())),NA())</f>
        <v>#N/A</v>
      </c>
      <c r="AC131" t="e">
        <f>IFERROR(IF(OR($C131="",AC$91="",AC$91&gt;c_RefDate),NA(),IF(ISNUMBER(INDEX(db_Vals,MATCH(AC$91,db_Dates,0),$B131)),INDEX(db_Vals,MATCH(AC$91,db_Dates,0),$B131),NA())),NA())</f>
        <v>#N/A</v>
      </c>
      <c r="AD131" t="e">
        <f>IFERROR(IF(OR($C131="",AD$91="",AD$91&gt;c_RefDate),NA(),IF(ISNUMBER(INDEX(db_Vals,MATCH(AD$91,db_Dates,0),$B131)),INDEX(db_Vals,MATCH(AD$91,db_Dates,0),$B131),NA())),NA())</f>
        <v>#N/A</v>
      </c>
      <c r="AE131" t="e">
        <f>IFERROR(IF(OR($C131="",AE$91="",AE$91&gt;c_RefDate),NA(),IF(ISNUMBER(INDEX(db_Vals,MATCH(AE$91,db_Dates,0),$B131)),INDEX(db_Vals,MATCH(AE$91,db_Dates,0),$B131),NA())),NA())</f>
        <v>#N/A</v>
      </c>
      <c r="AF131" t="e">
        <f>IFERROR(IF(OR($C131="",AF$91="",AF$91&gt;c_RefDate),NA(),IF(ISNUMBER(INDEX(db_Vals,MATCH(AF$91,db_Dates,0),$B131)),INDEX(db_Vals,MATCH(AF$91,db_Dates,0),$B131),NA())),NA())</f>
        <v>#N/A</v>
      </c>
      <c r="AG131" t="e">
        <f>IFERROR(IF(OR($C131="",AG$91="",AG$91&gt;c_RefDate),NA(),IF(ISNUMBER(INDEX(db_Vals,MATCH(AG$91,db_Dates,0),$B131)),INDEX(db_Vals,MATCH(AG$91,db_Dates,0),$B131),NA())),NA())</f>
        <v>#N/A</v>
      </c>
      <c r="AH131" t="e">
        <f>IFERROR(IF(OR($C131="",AH$91="",AH$91&gt;c_RefDate),NA(),IF(ISNUMBER(INDEX(db_Vals,MATCH(AH$91,db_Dates,0),$B131)),INDEX(db_Vals,MATCH(AH$91,db_Dates,0),$B131),NA())),NA())</f>
        <v>#N/A</v>
      </c>
      <c r="AI131" t="e">
        <f>IFERROR(IF(OR($C131="",AI$91="",AI$91&gt;c_RefDate),NA(),IF(ISNUMBER(INDEX(db_Vals,MATCH(AI$91,db_Dates,0),$B131)),INDEX(db_Vals,MATCH(AI$91,db_Dates,0),$B131),NA())),NA())</f>
        <v>#N/A</v>
      </c>
      <c r="AJ131" t="e">
        <f>IFERROR(IF(OR($C131="",AJ$91="",AJ$91&gt;c_RefDate),NA(),IF(ISNUMBER(INDEX(db_Vals,MATCH(AJ$91,db_Dates,0),$B131)),INDEX(db_Vals,MATCH(AJ$91,db_Dates,0),$B131),NA())),NA())</f>
        <v>#N/A</v>
      </c>
      <c r="AK131" t="e">
        <f>IFERROR(IF(OR($C131="",AK$91="",AK$91&gt;c_RefDate),NA(),IF(ISNUMBER(INDEX(db_Vals,MATCH(AK$91,db_Dates,0),$B131)),INDEX(db_Vals,MATCH(AK$91,db_Dates,0),$B131),NA())),NA())</f>
        <v>#N/A</v>
      </c>
      <c r="AL131" t="e">
        <f>IFERROR(IF(OR($C131="",AL$91="",AL$91&gt;c_RefDate),NA(),IF(ISNUMBER(INDEX(db_Vals,MATCH(AL$91,db_Dates,0),$B131)),INDEX(db_Vals,MATCH(AL$91,db_Dates,0),$B131),NA())),NA())</f>
        <v>#N/A</v>
      </c>
      <c r="AM131" t="e">
        <f>IFERROR(IF(OR($C131="",AM$91="",AM$91&gt;c_RefDate),NA(),IF(ISNUMBER(INDEX(db_Vals,MATCH(AM$91,db_Dates,0),$B131)),INDEX(db_Vals,MATCH(AM$91,db_Dates,0),$B131),NA())),NA())</f>
        <v>#N/A</v>
      </c>
      <c r="AN131" t="e">
        <f>IFERROR(IF(OR($C131="",AN$91="",AN$91&gt;c_RefDate),NA(),IF(ISNUMBER(INDEX(db_Vals,MATCH(AN$91,db_Dates,0),$B131)),INDEX(db_Vals,MATCH(AN$91,db_Dates,0),$B131),NA())),NA())</f>
        <v>#N/A</v>
      </c>
      <c r="AO131" t="e">
        <f>IFERROR(IF(OR($C131="",AO$91="",AO$91&gt;c_RefDate),NA(),IF(ISNUMBER(INDEX(db_Vals,MATCH(AO$91,db_Dates,0),$B131)),INDEX(db_Vals,MATCH(AO$91,db_Dates,0),$B131),NA())),NA())</f>
        <v>#N/A</v>
      </c>
      <c r="AP131" t="e">
        <f>IFERROR(IF(OR($C131="",AP$91="",AP$91&gt;c_RefDate),NA(),IF(ISNUMBER(INDEX(db_Vals,MATCH(AP$91,db_Dates,0),$B131)),INDEX(db_Vals,MATCH(AP$91,db_Dates,0),$B131),NA())),NA())</f>
        <v>#N/A</v>
      </c>
    </row>
    <row r="134" spans="1:42">
      <c r="K134" s="129" t="s">
        <v>57</v>
      </c>
      <c r="L134">
        <f>IFERROR(IF(OR(L$91="",L$91&gt;c_RefDate),NA(),IF(COUNT(INDEX(db_Vals,MATCH(L$91,db_Dates,0),0))=0,NA(),MAX(INDEX(db_Vals,MATCH(L$91,db_Dates,0),0)))),NA())</f>
        <v>0</v>
      </c>
      <c r="M134">
        <f>IFERROR(IF(OR(M$91="",M$91&gt;c_RefDate),NA(),IF(COUNT(INDEX(db_Vals,MATCH(M$91,db_Dates,0),0))=0,NA(),MAX(INDEX(db_Vals,MATCH(M$91,db_Dates,0),0)))),NA())</f>
        <v>0</v>
      </c>
      <c r="N134">
        <f>IFERROR(IF(OR(N$91="",N$91&gt;c_RefDate),NA(),IF(COUNT(INDEX(db_Vals,MATCH(N$91,db_Dates,0),0))=0,NA(),MAX(INDEX(db_Vals,MATCH(N$91,db_Dates,0),0)))),NA())</f>
        <v>0</v>
      </c>
      <c r="O134">
        <f>IFERROR(IF(OR(O$91="",O$91&gt;c_RefDate),NA(),IF(COUNT(INDEX(db_Vals,MATCH(O$91,db_Dates,0),0))=0,NA(),MAX(INDEX(db_Vals,MATCH(O$91,db_Dates,0),0)))),NA())</f>
        <v>0</v>
      </c>
      <c r="P134">
        <f>IFERROR(IF(OR(P$91="",P$91&gt;c_RefDate),NA(),IF(COUNT(INDEX(db_Vals,MATCH(P$91,db_Dates,0),0))=0,NA(),MAX(INDEX(db_Vals,MATCH(P$91,db_Dates,0),0)))),NA())</f>
        <v>0</v>
      </c>
      <c r="Q134">
        <f>IFERROR(IF(OR(Q$91="",Q$91&gt;c_RefDate),NA(),IF(COUNT(INDEX(db_Vals,MATCH(Q$91,db_Dates,0),0))=0,NA(),MAX(INDEX(db_Vals,MATCH(Q$91,db_Dates,0),0)))),NA())</f>
        <v>0</v>
      </c>
      <c r="R134">
        <f>IFERROR(IF(OR(R$91="",R$91&gt;c_RefDate),NA(),IF(COUNT(INDEX(db_Vals,MATCH(R$91,db_Dates,0),0))=0,NA(),MAX(INDEX(db_Vals,MATCH(R$91,db_Dates,0),0)))),NA())</f>
        <v>0</v>
      </c>
      <c r="S134">
        <f>IFERROR(IF(OR(S$91="",S$91&gt;c_RefDate),NA(),IF(COUNT(INDEX(db_Vals,MATCH(S$91,db_Dates,0),0))=0,NA(),MAX(INDEX(db_Vals,MATCH(S$91,db_Dates,0),0)))),NA())</f>
        <v>0</v>
      </c>
      <c r="T134">
        <f>IFERROR(IF(OR(T$91="",T$91&gt;c_RefDate),NA(),IF(COUNT(INDEX(db_Vals,MATCH(T$91,db_Dates,0),0))=0,NA(),MAX(INDEX(db_Vals,MATCH(T$91,db_Dates,0),0)))),NA())</f>
        <v>0</v>
      </c>
      <c r="U134">
        <f>IFERROR(IF(OR(U$91="",U$91&gt;c_RefDate),NA(),IF(COUNT(INDEX(db_Vals,MATCH(U$91,db_Dates,0),0))=0,NA(),MAX(INDEX(db_Vals,MATCH(U$91,db_Dates,0),0)))),NA())</f>
        <v>0</v>
      </c>
      <c r="V134">
        <f>IFERROR(IF(OR(V$91="",V$91&gt;c_RefDate),NA(),IF(COUNT(INDEX(db_Vals,MATCH(V$91,db_Dates,0),0))=0,NA(),MAX(INDEX(db_Vals,MATCH(V$91,db_Dates,0),0)))),NA())</f>
        <v>0</v>
      </c>
      <c r="W134">
        <f>IFERROR(IF(OR(W$91="",W$91&gt;c_RefDate),NA(),IF(COUNT(INDEX(db_Vals,MATCH(W$91,db_Dates,0),0))=0,NA(),MAX(INDEX(db_Vals,MATCH(W$91,db_Dates,0),0)))),NA())</f>
        <v>0</v>
      </c>
      <c r="X134">
        <f>IFERROR(IF(OR(X$91="",X$91&gt;c_RefDate),NA(),IF(COUNT(INDEX(db_Vals,MATCH(X$91,db_Dates,0),0))=0,NA(),MAX(INDEX(db_Vals,MATCH(X$91,db_Dates,0),0)))),NA())</f>
        <v>0</v>
      </c>
      <c r="Y134">
        <f>IFERROR(IF(OR(Y$91="",Y$91&gt;c_RefDate),NA(),IF(COUNT(INDEX(db_Vals,MATCH(Y$91,db_Dates,0),0))=0,NA(),MAX(INDEX(db_Vals,MATCH(Y$91,db_Dates,0),0)))),NA())</f>
        <v>0</v>
      </c>
      <c r="Z134">
        <f>IFERROR(IF(OR(Z$91="",Z$91&gt;c_RefDate),NA(),IF(COUNT(INDEX(db_Vals,MATCH(Z$91,db_Dates,0),0))=0,NA(),MAX(INDEX(db_Vals,MATCH(Z$91,db_Dates,0),0)))),NA())</f>
        <v>0</v>
      </c>
      <c r="AA134">
        <f>IFERROR(IF(OR(AA$91="",AA$91&gt;c_RefDate),NA(),IF(COUNT(INDEX(db_Vals,MATCH(AA$91,db_Dates,0),0))=0,NA(),MAX(INDEX(db_Vals,MATCH(AA$91,db_Dates,0),0)))),NA())</f>
        <v>0</v>
      </c>
      <c r="AB134">
        <f>IFERROR(IF(OR(AB$91="",AB$91&gt;c_RefDate),NA(),IF(COUNT(INDEX(db_Vals,MATCH(AB$91,db_Dates,0),0))=0,NA(),MAX(INDEX(db_Vals,MATCH(AB$91,db_Dates,0),0)))),NA())</f>
        <v>0</v>
      </c>
      <c r="AC134">
        <f>IFERROR(IF(OR(AC$91="",AC$91&gt;c_RefDate),NA(),IF(COUNT(INDEX(db_Vals,MATCH(AC$91,db_Dates,0),0))=0,NA(),MAX(INDEX(db_Vals,MATCH(AC$91,db_Dates,0),0)))),NA())</f>
        <v>0</v>
      </c>
      <c r="AD134">
        <f>IFERROR(IF(OR(AD$91="",AD$91&gt;c_RefDate),NA(),IF(COUNT(INDEX(db_Vals,MATCH(AD$91,db_Dates,0),0))=0,NA(),MAX(INDEX(db_Vals,MATCH(AD$91,db_Dates,0),0)))),NA())</f>
        <v>0</v>
      </c>
      <c r="AE134">
        <f>IFERROR(IF(OR(AE$91="",AE$91&gt;c_RefDate),NA(),IF(COUNT(INDEX(db_Vals,MATCH(AE$91,db_Dates,0),0))=0,NA(),MAX(INDEX(db_Vals,MATCH(AE$91,db_Dates,0),0)))),NA())</f>
        <v>0</v>
      </c>
      <c r="AF134">
        <f>IFERROR(IF(OR(AF$91="",AF$91&gt;c_RefDate),NA(),IF(COUNT(INDEX(db_Vals,MATCH(AF$91,db_Dates,0),0))=0,NA(),MAX(INDEX(db_Vals,MATCH(AF$91,db_Dates,0),0)))),NA())</f>
        <v>0</v>
      </c>
      <c r="AG134">
        <f>IFERROR(IF(OR(AG$91="",AG$91&gt;c_RefDate),NA(),IF(COUNT(INDEX(db_Vals,MATCH(AG$91,db_Dates,0),0))=0,NA(),MAX(INDEX(db_Vals,MATCH(AG$91,db_Dates,0),0)))),NA())</f>
        <v>0</v>
      </c>
      <c r="AH134">
        <f>IFERROR(IF(OR(AH$91="",AH$91&gt;c_RefDate),NA(),IF(COUNT(INDEX(db_Vals,MATCH(AH$91,db_Dates,0),0))=0,NA(),MAX(INDEX(db_Vals,MATCH(AH$91,db_Dates,0),0)))),NA())</f>
        <v>0</v>
      </c>
      <c r="AI134">
        <f>IFERROR(IF(OR(AI$91="",AI$91&gt;c_RefDate),NA(),IF(COUNT(INDEX(db_Vals,MATCH(AI$91,db_Dates,0),0))=0,NA(),MAX(INDEX(db_Vals,MATCH(AI$91,db_Dates,0),0)))),NA())</f>
        <v>0</v>
      </c>
      <c r="AJ134">
        <f>IFERROR(IF(OR(AJ$91="",AJ$91&gt;c_RefDate),NA(),IF(COUNT(INDEX(db_Vals,MATCH(AJ$91,db_Dates,0),0))=0,NA(),MAX(INDEX(db_Vals,MATCH(AJ$91,db_Dates,0),0)))),NA())</f>
        <v>0</v>
      </c>
      <c r="AK134">
        <f>IFERROR(IF(OR(AK$91="",AK$91&gt;c_RefDate),NA(),IF(COUNT(INDEX(db_Vals,MATCH(AK$91,db_Dates,0),0))=0,NA(),MAX(INDEX(db_Vals,MATCH(AK$91,db_Dates,0),0)))),NA())</f>
        <v>0</v>
      </c>
      <c r="AL134">
        <f>IFERROR(IF(OR(AL$91="",AL$91&gt;c_RefDate),NA(),IF(COUNT(INDEX(db_Vals,MATCH(AL$91,db_Dates,0),0))=0,NA(),MAX(INDEX(db_Vals,MATCH(AL$91,db_Dates,0),0)))),NA())</f>
        <v>0</v>
      </c>
      <c r="AM134">
        <f>IFERROR(IF(OR(AM$91="",AM$91&gt;c_RefDate),NA(),IF(COUNT(INDEX(db_Vals,MATCH(AM$91,db_Dates,0),0))=0,NA(),MAX(INDEX(db_Vals,MATCH(AM$91,db_Dates,0),0)))),NA())</f>
        <v>0</v>
      </c>
      <c r="AN134">
        <f>IFERROR(IF(OR(AN$91="",AN$91&gt;c_RefDate),NA(),IF(COUNT(INDEX(db_Vals,MATCH(AN$91,db_Dates,0),0))=0,NA(),MAX(INDEX(db_Vals,MATCH(AN$91,db_Dates,0),0)))),NA())</f>
        <v>0</v>
      </c>
      <c r="AO134">
        <f>IFERROR(IF(OR(AO$91="",AO$91&gt;c_RefDate),NA(),IF(COUNT(INDEX(db_Vals,MATCH(AO$91,db_Dates,0),0))=0,NA(),MAX(INDEX(db_Vals,MATCH(AO$91,db_Dates,0),0)))),NA())</f>
        <v>0</v>
      </c>
      <c r="AP134">
        <f>IFERROR(IF(OR(AP$91="",AP$91&gt;c_RefDate),NA(),IF(COUNT(INDEX(db_Vals,MATCH(AP$91,db_Dates,0),0))=0,NA(),MAX(INDEX(db_Vals,MATCH(AP$91,db_Dates,0),0)))),NA())</f>
        <v>0</v>
      </c>
    </row>
    <row r="135" spans="1:42">
      <c r="K135" s="129" t="s">
        <v>58</v>
      </c>
      <c r="L135">
        <f>IF(L$91="",NA(),cfg_Limit)</f>
        <v>3.0</v>
      </c>
      <c r="M135">
        <f>IF(M$91="",NA(),cfg_Limit)</f>
        <v>3.0</v>
      </c>
      <c r="N135">
        <f>IF(N$91="",NA(),cfg_Limit)</f>
        <v>3.0</v>
      </c>
      <c r="O135">
        <f>IF(O$91="",NA(),cfg_Limit)</f>
        <v>3.0</v>
      </c>
      <c r="P135">
        <f>IF(P$91="",NA(),cfg_Limit)</f>
        <v>3.0</v>
      </c>
      <c r="Q135">
        <f>IF(Q$91="",NA(),cfg_Limit)</f>
        <v>3.0</v>
      </c>
      <c r="R135">
        <f>IF(R$91="",NA(),cfg_Limit)</f>
        <v>3.0</v>
      </c>
      <c r="S135">
        <f>IF(S$91="",NA(),cfg_Limit)</f>
        <v>3.0</v>
      </c>
      <c r="T135">
        <f>IF(T$91="",NA(),cfg_Limit)</f>
        <v>3.0</v>
      </c>
      <c r="U135">
        <f>IF(U$91="",NA(),cfg_Limit)</f>
        <v>3.0</v>
      </c>
      <c r="V135">
        <f>IF(V$91="",NA(),cfg_Limit)</f>
        <v>3.0</v>
      </c>
      <c r="W135">
        <f>IF(W$91="",NA(),cfg_Limit)</f>
        <v>3.0</v>
      </c>
      <c r="X135">
        <f>IF(X$91="",NA(),cfg_Limit)</f>
        <v>3.0</v>
      </c>
      <c r="Y135">
        <f>IF(Y$91="",NA(),cfg_Limit)</f>
        <v>3.0</v>
      </c>
      <c r="Z135">
        <f>IF(Z$91="",NA(),cfg_Limit)</f>
        <v>3.0</v>
      </c>
      <c r="AA135">
        <f>IF(AA$91="",NA(),cfg_Limit)</f>
        <v>3.0</v>
      </c>
      <c r="AB135">
        <f>IF(AB$91="",NA(),cfg_Limit)</f>
        <v>3.0</v>
      </c>
      <c r="AC135">
        <f>IF(AC$91="",NA(),cfg_Limit)</f>
        <v>3.0</v>
      </c>
      <c r="AD135">
        <f>IF(AD$91="",NA(),cfg_Limit)</f>
        <v>3.0</v>
      </c>
      <c r="AE135">
        <f>IF(AE$91="",NA(),cfg_Limit)</f>
        <v>3.0</v>
      </c>
      <c r="AF135">
        <f>IF(AF$91="",NA(),cfg_Limit)</f>
        <v>3.0</v>
      </c>
      <c r="AG135">
        <f>IF(AG$91="",NA(),cfg_Limit)</f>
        <v>3.0</v>
      </c>
      <c r="AH135">
        <f>IF(AH$91="",NA(),cfg_Limit)</f>
        <v>3.0</v>
      </c>
      <c r="AI135">
        <f>IF(AI$91="",NA(),cfg_Limit)</f>
        <v>3.0</v>
      </c>
      <c r="AJ135">
        <f>IF(AJ$91="",NA(),cfg_Limit)</f>
        <v>3.0</v>
      </c>
      <c r="AK135">
        <f>IF(AK$91="",NA(),cfg_Limit)</f>
        <v>3.0</v>
      </c>
      <c r="AL135">
        <f>IF(AL$91="",NA(),cfg_Limit)</f>
        <v>3.0</v>
      </c>
      <c r="AM135">
        <f>IF(AM$91="",NA(),cfg_Limit)</f>
        <v>3.0</v>
      </c>
      <c r="AN135">
        <f>IF(AN$91="",NA(),cfg_Limit)</f>
        <v>3.0</v>
      </c>
      <c r="AO135">
        <f>IF(AO$91="",NA(),cfg_Limit)</f>
        <v>3.0</v>
      </c>
      <c r="AP135">
        <f>IF(AP$91="",NA(),cfg_Limit)</f>
        <v>3.0</v>
      </c>
    </row>
    <row r="136" spans="1:42">
      <c r="K136" s="129" t="s">
        <v>59</v>
      </c>
      <c r="L136">
        <f>IF(L$91="",NA(),cfg_Yellow)</f>
        <v>2.3</v>
      </c>
      <c r="M136">
        <f>IF(M$91="",NA(),cfg_Yellow)</f>
        <v>2.3</v>
      </c>
      <c r="N136">
        <f>IF(N$91="",NA(),cfg_Yellow)</f>
        <v>2.3</v>
      </c>
      <c r="O136">
        <f>IF(O$91="",NA(),cfg_Yellow)</f>
        <v>2.3</v>
      </c>
      <c r="P136">
        <f>IF(P$91="",NA(),cfg_Yellow)</f>
        <v>2.3</v>
      </c>
      <c r="Q136">
        <f>IF(Q$91="",NA(),cfg_Yellow)</f>
        <v>2.3</v>
      </c>
      <c r="R136">
        <f>IF(R$91="",NA(),cfg_Yellow)</f>
        <v>2.3</v>
      </c>
      <c r="S136">
        <f>IF(S$91="",NA(),cfg_Yellow)</f>
        <v>2.3</v>
      </c>
      <c r="T136">
        <f>IF(T$91="",NA(),cfg_Yellow)</f>
        <v>2.3</v>
      </c>
      <c r="U136">
        <f>IF(U$91="",NA(),cfg_Yellow)</f>
        <v>2.3</v>
      </c>
      <c r="V136">
        <f>IF(V$91="",NA(),cfg_Yellow)</f>
        <v>2.3</v>
      </c>
      <c r="W136">
        <f>IF(W$91="",NA(),cfg_Yellow)</f>
        <v>2.3</v>
      </c>
      <c r="X136">
        <f>IF(X$91="",NA(),cfg_Yellow)</f>
        <v>2.3</v>
      </c>
      <c r="Y136">
        <f>IF(Y$91="",NA(),cfg_Yellow)</f>
        <v>2.3</v>
      </c>
      <c r="Z136">
        <f>IF(Z$91="",NA(),cfg_Yellow)</f>
        <v>2.3</v>
      </c>
      <c r="AA136">
        <f>IF(AA$91="",NA(),cfg_Yellow)</f>
        <v>2.3</v>
      </c>
      <c r="AB136">
        <f>IF(AB$91="",NA(),cfg_Yellow)</f>
        <v>2.3</v>
      </c>
      <c r="AC136">
        <f>IF(AC$91="",NA(),cfg_Yellow)</f>
        <v>2.3</v>
      </c>
      <c r="AD136">
        <f>IF(AD$91="",NA(),cfg_Yellow)</f>
        <v>2.3</v>
      </c>
      <c r="AE136">
        <f>IF(AE$91="",NA(),cfg_Yellow)</f>
        <v>2.3</v>
      </c>
      <c r="AF136">
        <f>IF(AF$91="",NA(),cfg_Yellow)</f>
        <v>2.3</v>
      </c>
      <c r="AG136">
        <f>IF(AG$91="",NA(),cfg_Yellow)</f>
        <v>2.3</v>
      </c>
      <c r="AH136">
        <f>IF(AH$91="",NA(),cfg_Yellow)</f>
        <v>2.3</v>
      </c>
      <c r="AI136">
        <f>IF(AI$91="",NA(),cfg_Yellow)</f>
        <v>2.3</v>
      </c>
      <c r="AJ136">
        <f>IF(AJ$91="",NA(),cfg_Yellow)</f>
        <v>2.3</v>
      </c>
      <c r="AK136">
        <f>IF(AK$91="",NA(),cfg_Yellow)</f>
        <v>2.3</v>
      </c>
      <c r="AL136">
        <f>IF(AL$91="",NA(),cfg_Yellow)</f>
        <v>2.3</v>
      </c>
      <c r="AM136">
        <f>IF(AM$91="",NA(),cfg_Yellow)</f>
        <v>2.3</v>
      </c>
      <c r="AN136">
        <f>IF(AN$91="",NA(),cfg_Yellow)</f>
        <v>2.3</v>
      </c>
      <c r="AO136">
        <f>IF(AO$91="",NA(),cfg_Yellow)</f>
        <v>2.3</v>
      </c>
      <c r="AP136">
        <f>IF(AP$91="",NA(),cfg_Yellow)</f>
        <v>2.3</v>
      </c>
    </row>
    <row r="137" spans="1:42">
      <c r="K137" s="129" t="s">
        <v>60</v>
      </c>
      <c r="L137">
        <f>IF(L$91="",NA(),cfg_Green)</f>
        <v>1.5</v>
      </c>
      <c r="M137">
        <f>IF(M$91="",NA(),cfg_Green)</f>
        <v>1.5</v>
      </c>
      <c r="N137">
        <f>IF(N$91="",NA(),cfg_Green)</f>
        <v>1.5</v>
      </c>
      <c r="O137">
        <f>IF(O$91="",NA(),cfg_Green)</f>
        <v>1.5</v>
      </c>
      <c r="P137">
        <f>IF(P$91="",NA(),cfg_Green)</f>
        <v>1.5</v>
      </c>
      <c r="Q137">
        <f>IF(Q$91="",NA(),cfg_Green)</f>
        <v>1.5</v>
      </c>
      <c r="R137">
        <f>IF(R$91="",NA(),cfg_Green)</f>
        <v>1.5</v>
      </c>
      <c r="S137">
        <f>IF(S$91="",NA(),cfg_Green)</f>
        <v>1.5</v>
      </c>
      <c r="T137">
        <f>IF(T$91="",NA(),cfg_Green)</f>
        <v>1.5</v>
      </c>
      <c r="U137">
        <f>IF(U$91="",NA(),cfg_Green)</f>
        <v>1.5</v>
      </c>
      <c r="V137">
        <f>IF(V$91="",NA(),cfg_Green)</f>
        <v>1.5</v>
      </c>
      <c r="W137">
        <f>IF(W$91="",NA(),cfg_Green)</f>
        <v>1.5</v>
      </c>
      <c r="X137">
        <f>IF(X$91="",NA(),cfg_Green)</f>
        <v>1.5</v>
      </c>
      <c r="Y137">
        <f>IF(Y$91="",NA(),cfg_Green)</f>
        <v>1.5</v>
      </c>
      <c r="Z137">
        <f>IF(Z$91="",NA(),cfg_Green)</f>
        <v>1.5</v>
      </c>
      <c r="AA137">
        <f>IF(AA$91="",NA(),cfg_Green)</f>
        <v>1.5</v>
      </c>
      <c r="AB137">
        <f>IF(AB$91="",NA(),cfg_Green)</f>
        <v>1.5</v>
      </c>
      <c r="AC137">
        <f>IF(AC$91="",NA(),cfg_Green)</f>
        <v>1.5</v>
      </c>
      <c r="AD137">
        <f>IF(AD$91="",NA(),cfg_Green)</f>
        <v>1.5</v>
      </c>
      <c r="AE137">
        <f>IF(AE$91="",NA(),cfg_Green)</f>
        <v>1.5</v>
      </c>
      <c r="AF137">
        <f>IF(AF$91="",NA(),cfg_Green)</f>
        <v>1.5</v>
      </c>
      <c r="AG137">
        <f>IF(AG$91="",NA(),cfg_Green)</f>
        <v>1.5</v>
      </c>
      <c r="AH137">
        <f>IF(AH$91="",NA(),cfg_Green)</f>
        <v>1.5</v>
      </c>
      <c r="AI137">
        <f>IF(AI$91="",NA(),cfg_Green)</f>
        <v>1.5</v>
      </c>
      <c r="AJ137">
        <f>IF(AJ$91="",NA(),cfg_Green)</f>
        <v>1.5</v>
      </c>
      <c r="AK137">
        <f>IF(AK$91="",NA(),cfg_Green)</f>
        <v>1.5</v>
      </c>
      <c r="AL137">
        <f>IF(AL$91="",NA(),cfg_Green)</f>
        <v>1.5</v>
      </c>
      <c r="AM137">
        <f>IF(AM$91="",NA(),cfg_Green)</f>
        <v>1.5</v>
      </c>
      <c r="AN137">
        <f>IF(AN$91="",NA(),cfg_Green)</f>
        <v>1.5</v>
      </c>
      <c r="AO137">
        <f>IF(AO$91="",NA(),cfg_Green)</f>
        <v>1.5</v>
      </c>
      <c r="AP137">
        <f>IF(AP$91="",NA(),cfg_Green)</f>
        <v>1.5</v>
      </c>
    </row>
    <row r="138" spans="1:42">
      <c r="K138" s="129" t="s">
        <v>61</v>
      </c>
      <c r="L138">
        <f>IF(ISNUMBER(L134),IF(L$91=c_LastMaxDate,L134,NA()),NA())</f>
        <v>0</v>
      </c>
      <c r="M138">
        <f>IF(ISNUMBER(M134),IF(M$91=c_LastMaxDate,M134,NA()),NA())</f>
        <v>0</v>
      </c>
      <c r="N138">
        <f>IF(ISNUMBER(N134),IF(N$91=c_LastMaxDate,N134,NA()),NA())</f>
        <v>0</v>
      </c>
      <c r="O138">
        <f>IF(ISNUMBER(O134),IF(O$91=c_LastMaxDate,O134,NA()),NA())</f>
        <v>0</v>
      </c>
      <c r="P138">
        <f>IF(ISNUMBER(P134),IF(P$91=c_LastMaxDate,P134,NA()),NA())</f>
        <v>0</v>
      </c>
      <c r="Q138">
        <f>IF(ISNUMBER(Q134),IF(Q$91=c_LastMaxDate,Q134,NA()),NA())</f>
        <v>0</v>
      </c>
      <c r="R138">
        <f>IF(ISNUMBER(R134),IF(R$91=c_LastMaxDate,R134,NA()),NA())</f>
        <v>0</v>
      </c>
      <c r="S138">
        <f>IF(ISNUMBER(S134),IF(S$91=c_LastMaxDate,S134,NA()),NA())</f>
        <v>0</v>
      </c>
      <c r="T138">
        <f>IF(ISNUMBER(T134),IF(T$91=c_LastMaxDate,T134,NA()),NA())</f>
        <v>0</v>
      </c>
      <c r="U138">
        <f>IF(ISNUMBER(U134),IF(U$91=c_LastMaxDate,U134,NA()),NA())</f>
        <v>0</v>
      </c>
      <c r="V138">
        <f>IF(ISNUMBER(V134),IF(V$91=c_LastMaxDate,V134,NA()),NA())</f>
        <v>0</v>
      </c>
      <c r="W138">
        <f>IF(ISNUMBER(W134),IF(W$91=c_LastMaxDate,W134,NA()),NA())</f>
        <v>0</v>
      </c>
      <c r="X138">
        <f>IF(ISNUMBER(X134),IF(X$91=c_LastMaxDate,X134,NA()),NA())</f>
        <v>0</v>
      </c>
      <c r="Y138">
        <f>IF(ISNUMBER(Y134),IF(Y$91=c_LastMaxDate,Y134,NA()),NA())</f>
        <v>0</v>
      </c>
      <c r="Z138">
        <f>IF(ISNUMBER(Z134),IF(Z$91=c_LastMaxDate,Z134,NA()),NA())</f>
        <v>0</v>
      </c>
      <c r="AA138">
        <f>IF(ISNUMBER(AA134),IF(AA$91=c_LastMaxDate,AA134,NA()),NA())</f>
        <v>0</v>
      </c>
      <c r="AB138">
        <f>IF(ISNUMBER(AB134),IF(AB$91=c_LastMaxDate,AB134,NA()),NA())</f>
        <v>0</v>
      </c>
      <c r="AC138">
        <f>IF(ISNUMBER(AC134),IF(AC$91=c_LastMaxDate,AC134,NA()),NA())</f>
        <v>0</v>
      </c>
      <c r="AD138">
        <f>IF(ISNUMBER(AD134),IF(AD$91=c_LastMaxDate,AD134,NA()),NA())</f>
        <v>0</v>
      </c>
      <c r="AE138">
        <f>IF(ISNUMBER(AE134),IF(AE$91=c_LastMaxDate,AE134,NA()),NA())</f>
        <v>0</v>
      </c>
      <c r="AF138">
        <f>IF(ISNUMBER(AF134),IF(AF$91=c_LastMaxDate,AF134,NA()),NA())</f>
        <v>0</v>
      </c>
      <c r="AG138">
        <f>IF(ISNUMBER(AG134),IF(AG$91=c_LastMaxDate,AG134,NA()),NA())</f>
        <v>0</v>
      </c>
      <c r="AH138">
        <f>IF(ISNUMBER(AH134),IF(AH$91=c_LastMaxDate,AH134,NA()),NA())</f>
        <v>0</v>
      </c>
      <c r="AI138">
        <f>IF(ISNUMBER(AI134),IF(AI$91=c_LastMaxDate,AI134,NA()),NA())</f>
        <v>0</v>
      </c>
      <c r="AJ138">
        <f>IF(ISNUMBER(AJ134),IF(AJ$91=c_LastMaxDate,AJ134,NA()),NA())</f>
        <v>0</v>
      </c>
      <c r="AK138">
        <f>IF(ISNUMBER(AK134),IF(AK$91=c_LastMaxDate,AK134,NA()),NA())</f>
        <v>0</v>
      </c>
      <c r="AL138">
        <f>IF(ISNUMBER(AL134),IF(AL$91=c_LastMaxDate,AL134,NA()),NA())</f>
        <v>0</v>
      </c>
      <c r="AM138">
        <f>IF(ISNUMBER(AM134),IF(AM$91=c_LastMaxDate,AM134,NA()),NA())</f>
        <v>0</v>
      </c>
      <c r="AN138">
        <f>IF(ISNUMBER(AN134),IF(AN$91=c_LastMaxDate,AN134,NA()),NA())</f>
        <v>0</v>
      </c>
      <c r="AO138">
        <f>IF(ISNUMBER(AO134),IF(AO$91=c_LastMaxDate,AO134,NA()),NA())</f>
        <v>0</v>
      </c>
      <c r="AP138">
        <f>IF(ISNUMBER(AP134),IF(AP$91=c_LastMaxDate,AP134,NA()),NA())</f>
        <v>0</v>
      </c>
    </row>
    <row r="139" spans="1:42">
      <c r="K139" s="129" t="s">
        <v>62</v>
      </c>
      <c r="L139" t="str">
        <f>IF(OR(L$91="",MOD(L$90-1,7)&lt;&gt;0),"",RIGHT("0"&amp;DAY(L$91),2)&amp;"."&amp;RIGHT("0"&amp;MONTH(L$91),2))</f>
        <v>01.10</v>
      </c>
      <c r="M139" t="str">
        <f>IF(OR(M$91="",MOD(M$90-1,7)&lt;&gt;0),"",RIGHT("0"&amp;DAY(M$91),2)&amp;"."&amp;RIGHT("0"&amp;MONTH(M$91),2))</f>
        <v/>
      </c>
      <c r="N139" t="str">
        <f>IF(OR(N$91="",MOD(N$90-1,7)&lt;&gt;0),"",RIGHT("0"&amp;DAY(N$91),2)&amp;"."&amp;RIGHT("0"&amp;MONTH(N$91),2))</f>
        <v/>
      </c>
      <c r="O139" t="str">
        <f>IF(OR(O$91="",MOD(O$90-1,7)&lt;&gt;0),"",RIGHT("0"&amp;DAY(O$91),2)&amp;"."&amp;RIGHT("0"&amp;MONTH(O$91),2))</f>
        <v/>
      </c>
      <c r="P139" t="str">
        <f>IF(OR(P$91="",MOD(P$90-1,7)&lt;&gt;0),"",RIGHT("0"&amp;DAY(P$91),2)&amp;"."&amp;RIGHT("0"&amp;MONTH(P$91),2))</f>
        <v/>
      </c>
      <c r="Q139" t="str">
        <f>IF(OR(Q$91="",MOD(Q$90-1,7)&lt;&gt;0),"",RIGHT("0"&amp;DAY(Q$91),2)&amp;"."&amp;RIGHT("0"&amp;MONTH(Q$91),2))</f>
        <v/>
      </c>
      <c r="R139" t="str">
        <f>IF(OR(R$91="",MOD(R$90-1,7)&lt;&gt;0),"",RIGHT("0"&amp;DAY(R$91),2)&amp;"."&amp;RIGHT("0"&amp;MONTH(R$91),2))</f>
        <v/>
      </c>
      <c r="S139" t="str">
        <f>IF(OR(S$91="",MOD(S$90-1,7)&lt;&gt;0),"",RIGHT("0"&amp;DAY(S$91),2)&amp;"."&amp;RIGHT("0"&amp;MONTH(S$91),2))</f>
        <v>08.10</v>
      </c>
      <c r="T139" t="str">
        <f>IF(OR(T$91="",MOD(T$90-1,7)&lt;&gt;0),"",RIGHT("0"&amp;DAY(T$91),2)&amp;"."&amp;RIGHT("0"&amp;MONTH(T$91),2))</f>
        <v/>
      </c>
      <c r="U139" t="str">
        <f>IF(OR(U$91="",MOD(U$90-1,7)&lt;&gt;0),"",RIGHT("0"&amp;DAY(U$91),2)&amp;"."&amp;RIGHT("0"&amp;MONTH(U$91),2))</f>
        <v/>
      </c>
      <c r="V139" t="str">
        <f>IF(OR(V$91="",MOD(V$90-1,7)&lt;&gt;0),"",RIGHT("0"&amp;DAY(V$91),2)&amp;"."&amp;RIGHT("0"&amp;MONTH(V$91),2))</f>
        <v/>
      </c>
      <c r="W139" t="str">
        <f>IF(OR(W$91="",MOD(W$90-1,7)&lt;&gt;0),"",RIGHT("0"&amp;DAY(W$91),2)&amp;"."&amp;RIGHT("0"&amp;MONTH(W$91),2))</f>
        <v/>
      </c>
      <c r="X139" t="str">
        <f>IF(OR(X$91="",MOD(X$90-1,7)&lt;&gt;0),"",RIGHT("0"&amp;DAY(X$91),2)&amp;"."&amp;RIGHT("0"&amp;MONTH(X$91),2))</f>
        <v/>
      </c>
      <c r="Y139" t="str">
        <f>IF(OR(Y$91="",MOD(Y$90-1,7)&lt;&gt;0),"",RIGHT("0"&amp;DAY(Y$91),2)&amp;"."&amp;RIGHT("0"&amp;MONTH(Y$91),2))</f>
        <v/>
      </c>
      <c r="Z139" t="str">
        <f>IF(OR(Z$91="",MOD(Z$90-1,7)&lt;&gt;0),"",RIGHT("0"&amp;DAY(Z$91),2)&amp;"."&amp;RIGHT("0"&amp;MONTH(Z$91),2))</f>
        <v>15.10</v>
      </c>
      <c r="AA139" t="str">
        <f>IF(OR(AA$91="",MOD(AA$90-1,7)&lt;&gt;0),"",RIGHT("0"&amp;DAY(AA$91),2)&amp;"."&amp;RIGHT("0"&amp;MONTH(AA$91),2))</f>
        <v/>
      </c>
      <c r="AB139" t="str">
        <f>IF(OR(AB$91="",MOD(AB$90-1,7)&lt;&gt;0),"",RIGHT("0"&amp;DAY(AB$91),2)&amp;"."&amp;RIGHT("0"&amp;MONTH(AB$91),2))</f>
        <v/>
      </c>
      <c r="AC139" t="str">
        <f>IF(OR(AC$91="",MOD(AC$90-1,7)&lt;&gt;0),"",RIGHT("0"&amp;DAY(AC$91),2)&amp;"."&amp;RIGHT("0"&amp;MONTH(AC$91),2))</f>
        <v/>
      </c>
      <c r="AD139" t="str">
        <f>IF(OR(AD$91="",MOD(AD$90-1,7)&lt;&gt;0),"",RIGHT("0"&amp;DAY(AD$91),2)&amp;"."&amp;RIGHT("0"&amp;MONTH(AD$91),2))</f>
        <v/>
      </c>
      <c r="AE139" t="str">
        <f>IF(OR(AE$91="",MOD(AE$90-1,7)&lt;&gt;0),"",RIGHT("0"&amp;DAY(AE$91),2)&amp;"."&amp;RIGHT("0"&amp;MONTH(AE$91),2))</f>
        <v/>
      </c>
      <c r="AF139" t="str">
        <f>IF(OR(AF$91="",MOD(AF$90-1,7)&lt;&gt;0),"",RIGHT("0"&amp;DAY(AF$91),2)&amp;"."&amp;RIGHT("0"&amp;MONTH(AF$91),2))</f>
        <v/>
      </c>
      <c r="AG139" t="str">
        <f>IF(OR(AG$91="",MOD(AG$90-1,7)&lt;&gt;0),"",RIGHT("0"&amp;DAY(AG$91),2)&amp;"."&amp;RIGHT("0"&amp;MONTH(AG$91),2))</f>
        <v>22.10</v>
      </c>
      <c r="AH139" t="str">
        <f>IF(OR(AH$91="",MOD(AH$90-1,7)&lt;&gt;0),"",RIGHT("0"&amp;DAY(AH$91),2)&amp;"."&amp;RIGHT("0"&amp;MONTH(AH$91),2))</f>
        <v/>
      </c>
      <c r="AI139" t="str">
        <f>IF(OR(AI$91="",MOD(AI$90-1,7)&lt;&gt;0),"",RIGHT("0"&amp;DAY(AI$91),2)&amp;"."&amp;RIGHT("0"&amp;MONTH(AI$91),2))</f>
        <v/>
      </c>
      <c r="AJ139" t="str">
        <f>IF(OR(AJ$91="",MOD(AJ$90-1,7)&lt;&gt;0),"",RIGHT("0"&amp;DAY(AJ$91),2)&amp;"."&amp;RIGHT("0"&amp;MONTH(AJ$91),2))</f>
        <v/>
      </c>
      <c r="AK139" t="str">
        <f>IF(OR(AK$91="",MOD(AK$90-1,7)&lt;&gt;0),"",RIGHT("0"&amp;DAY(AK$91),2)&amp;"."&amp;RIGHT("0"&amp;MONTH(AK$91),2))</f>
        <v/>
      </c>
      <c r="AL139" t="str">
        <f>IF(OR(AL$91="",MOD(AL$90-1,7)&lt;&gt;0),"",RIGHT("0"&amp;DAY(AL$91),2)&amp;"."&amp;RIGHT("0"&amp;MONTH(AL$91),2))</f>
        <v/>
      </c>
      <c r="AM139" t="str">
        <f>IF(OR(AM$91="",MOD(AM$90-1,7)&lt;&gt;0),"",RIGHT("0"&amp;DAY(AM$91),2)&amp;"."&amp;RIGHT("0"&amp;MONTH(AM$91),2))</f>
        <v/>
      </c>
      <c r="AN139" t="str">
        <f>IF(OR(AN$91="",MOD(AN$90-1,7)&lt;&gt;0),"",RIGHT("0"&amp;DAY(AN$91),2)&amp;"."&amp;RIGHT("0"&amp;MONTH(AN$91),2))</f>
        <v>29.10</v>
      </c>
      <c r="AO139" t="str">
        <f>IF(OR(AO$91="",MOD(AO$90-1,7)&lt;&gt;0),"",RIGHT("0"&amp;DAY(AO$91),2)&amp;"."&amp;RIGHT("0"&amp;MONTH(AO$91),2))</f>
        <v/>
      </c>
      <c r="AP139" t="str">
        <f>IF(OR(AP$91="",MOD(AP$90-1,7)&lt;&gt;0),"",RIGHT("0"&amp;DAY(AP$91),2)&amp;"."&amp;RIGHT("0"&amp;MONTH(AP$91),2))</f>
        <v/>
      </c>
    </row>
    <row r="141" spans="1:42">
      <c r="A141" s="129" t="s">
        <v>63</v>
      </c>
    </row>
    <row r="142" spans="1:42">
      <c r="A142">
        <v>1</v>
      </c>
      <c r="B142" s="130" t="str">
        <f>IF(c_LastMonth="","",IF(EDATE(c_LastMonth,1-$A142)&lt;c_FirstMonth,"",EDATE(c_LastMonth,1-$A142)))</f>
        <v/>
      </c>
      <c r="C142" t="str">
        <f>IF($B142="","",CHOOSE(MONTH($B142),"Январь","Февраль","Март","Апрель","Май","Июнь","Июль","Август","Сентябрь","Октябрь","Ноябрь","Декабрь")&amp;" "&amp;YEAR($B142))</f>
        <v/>
      </c>
    </row>
    <row r="143" spans="1:42">
      <c r="A143">
        <v>2</v>
      </c>
      <c r="B143" s="130" t="str">
        <f>IF(c_LastMonth="","",IF(EDATE(c_LastMonth,1-$A143)&lt;c_FirstMonth,"",EDATE(c_LastMonth,1-$A143)))</f>
        <v/>
      </c>
      <c r="C143" t="str">
        <f>IF($B143="","",CHOOSE(MONTH($B143),"Январь","Февраль","Март","Апрель","Май","Июнь","Июль","Август","Сентябрь","Октябрь","Ноябрь","Декабрь")&amp;" "&amp;YEAR($B143))</f>
        <v/>
      </c>
    </row>
    <row r="144" spans="1:42">
      <c r="A144">
        <v>3</v>
      </c>
      <c r="B144" s="130" t="str">
        <f>IF(c_LastMonth="","",IF(EDATE(c_LastMonth,1-$A144)&lt;c_FirstMonth,"",EDATE(c_LastMonth,1-$A144)))</f>
        <v/>
      </c>
      <c r="C144" t="str">
        <f>IF($B144="","",CHOOSE(MONTH($B144),"Январь","Февраль","Март","Апрель","Май","Июнь","Июль","Август","Сентябрь","Октябрь","Ноябрь","Декабрь")&amp;" "&amp;YEAR($B144))</f>
        <v/>
      </c>
    </row>
    <row r="145" spans="1:3">
      <c r="A145">
        <v>4</v>
      </c>
      <c r="B145" s="130" t="str">
        <f>IF(c_LastMonth="","",IF(EDATE(c_LastMonth,1-$A145)&lt;c_FirstMonth,"",EDATE(c_LastMonth,1-$A145)))</f>
        <v/>
      </c>
      <c r="C145" t="str">
        <f>IF($B145="","",CHOOSE(MONTH($B145),"Январь","Февраль","Март","Апрель","Май","Июнь","Июль","Август","Сентябрь","Октябрь","Ноябрь","Декабрь")&amp;" "&amp;YEAR($B145))</f>
        <v/>
      </c>
    </row>
    <row r="146" spans="1:3">
      <c r="A146">
        <v>5</v>
      </c>
      <c r="B146" s="130" t="str">
        <f>IF(c_LastMonth="","",IF(EDATE(c_LastMonth,1-$A146)&lt;c_FirstMonth,"",EDATE(c_LastMonth,1-$A146)))</f>
        <v/>
      </c>
      <c r="C146" t="str">
        <f>IF($B146="","",CHOOSE(MONTH($B146),"Январь","Февраль","Март","Апрель","Май","Июнь","Июль","Август","Сентябрь","Октябрь","Ноябрь","Декабрь")&amp;" "&amp;YEAR($B146))</f>
        <v/>
      </c>
    </row>
    <row r="147" spans="1:3">
      <c r="A147">
        <v>6</v>
      </c>
      <c r="B147" s="130" t="str">
        <f>IF(c_LastMonth="","",IF(EDATE(c_LastMonth,1-$A147)&lt;c_FirstMonth,"",EDATE(c_LastMonth,1-$A147)))</f>
        <v/>
      </c>
      <c r="C147" t="str">
        <f>IF($B147="","",CHOOSE(MONTH($B147),"Январь","Февраль","Март","Апрель","Май","Июнь","Июль","Август","Сентябрь","Октябрь","Ноябрь","Декабрь")&amp;" "&amp;YEAR($B147))</f>
        <v/>
      </c>
    </row>
    <row r="148" spans="1:3">
      <c r="A148">
        <v>7</v>
      </c>
      <c r="B148" s="130" t="str">
        <f>IF(c_LastMonth="","",IF(EDATE(c_LastMonth,1-$A148)&lt;c_FirstMonth,"",EDATE(c_LastMonth,1-$A148)))</f>
        <v/>
      </c>
      <c r="C148" t="str">
        <f>IF($B148="","",CHOOSE(MONTH($B148),"Январь","Февраль","Март","Апрель","Май","Июнь","Июль","Август","Сентябрь","Октябрь","Ноябрь","Декабрь")&amp;" "&amp;YEAR($B148))</f>
        <v/>
      </c>
    </row>
    <row r="149" spans="1:3">
      <c r="A149">
        <v>8</v>
      </c>
      <c r="B149" s="130" t="str">
        <f>IF(c_LastMonth="","",IF(EDATE(c_LastMonth,1-$A149)&lt;c_FirstMonth,"",EDATE(c_LastMonth,1-$A149)))</f>
        <v/>
      </c>
      <c r="C149" t="str">
        <f>IF($B149="","",CHOOSE(MONTH($B149),"Январь","Февраль","Март","Апрель","Май","Июнь","Июль","Август","Сентябрь","Октябрь","Ноябрь","Декабрь")&amp;" "&amp;YEAR($B149))</f>
        <v/>
      </c>
    </row>
    <row r="150" spans="1:3">
      <c r="A150">
        <v>9</v>
      </c>
      <c r="B150" s="130" t="str">
        <f>IF(c_LastMonth="","",IF(EDATE(c_LastMonth,1-$A150)&lt;c_FirstMonth,"",EDATE(c_LastMonth,1-$A150)))</f>
        <v/>
      </c>
      <c r="C150" t="str">
        <f>IF($B150="","",CHOOSE(MONTH($B150),"Январь","Февраль","Март","Апрель","Май","Июнь","Июль","Август","Сентябрь","Октябрь","Ноябрь","Декабрь")&amp;" "&amp;YEAR($B150))</f>
        <v/>
      </c>
    </row>
    <row r="151" spans="1:3">
      <c r="A151">
        <v>10</v>
      </c>
      <c r="B151" s="130" t="str">
        <f>IF(c_LastMonth="","",IF(EDATE(c_LastMonth,1-$A151)&lt;c_FirstMonth,"",EDATE(c_LastMonth,1-$A151)))</f>
        <v/>
      </c>
      <c r="C151" t="str">
        <f>IF($B151="","",CHOOSE(MONTH($B151),"Январь","Февраль","Март","Апрель","Май","Июнь","Июль","Август","Сентябрь","Октябрь","Ноябрь","Декабрь")&amp;" "&amp;YEAR($B151))</f>
        <v/>
      </c>
    </row>
    <row r="152" spans="1:3">
      <c r="A152">
        <v>11</v>
      </c>
      <c r="B152" s="130" t="str">
        <f>IF(c_LastMonth="","",IF(EDATE(c_LastMonth,1-$A152)&lt;c_FirstMonth,"",EDATE(c_LastMonth,1-$A152)))</f>
        <v/>
      </c>
      <c r="C152" t="str">
        <f>IF($B152="","",CHOOSE(MONTH($B152),"Январь","Февраль","Март","Апрель","Май","Июнь","Июль","Август","Сентябрь","Октябрь","Ноябрь","Декабрь")&amp;" "&amp;YEAR($B152))</f>
        <v/>
      </c>
    </row>
    <row r="153" spans="1:3">
      <c r="A153">
        <v>12</v>
      </c>
      <c r="B153" s="130" t="str">
        <f>IF(c_LastMonth="","",IF(EDATE(c_LastMonth,1-$A153)&lt;c_FirstMonth,"",EDATE(c_LastMonth,1-$A153)))</f>
        <v/>
      </c>
      <c r="C153" t="str">
        <f>IF($B153="","",CHOOSE(MONTH($B153),"Январь","Февраль","Март","Апрель","Май","Июнь","Июль","Август","Сентябрь","Октябрь","Ноябрь","Декабрь")&amp;" "&amp;YEAR($B153))</f>
        <v/>
      </c>
    </row>
    <row r="154" spans="1:3">
      <c r="A154">
        <v>13</v>
      </c>
      <c r="B154" s="130" t="str">
        <f>IF(c_LastMonth="","",IF(EDATE(c_LastMonth,1-$A154)&lt;c_FirstMonth,"",EDATE(c_LastMonth,1-$A154)))</f>
        <v/>
      </c>
      <c r="C154" t="str">
        <f>IF($B154="","",CHOOSE(MONTH($B154),"Январь","Февраль","Март","Апрель","Май","Июнь","Июль","Август","Сентябрь","Октябрь","Ноябрь","Декабрь")&amp;" "&amp;YEAR($B154))</f>
        <v/>
      </c>
    </row>
    <row r="155" spans="1:3">
      <c r="A155">
        <v>14</v>
      </c>
      <c r="B155" s="130" t="str">
        <f>IF(c_LastMonth="","",IF(EDATE(c_LastMonth,1-$A155)&lt;c_FirstMonth,"",EDATE(c_LastMonth,1-$A155)))</f>
        <v/>
      </c>
      <c r="C155" t="str">
        <f>IF($B155="","",CHOOSE(MONTH($B155),"Январь","Февраль","Март","Апрель","Май","Июнь","Июль","Август","Сентябрь","Октябрь","Ноябрь","Декабрь")&amp;" "&amp;YEAR($B155))</f>
        <v/>
      </c>
    </row>
    <row r="156" spans="1:3">
      <c r="A156">
        <v>15</v>
      </c>
      <c r="B156" s="130" t="str">
        <f>IF(c_LastMonth="","",IF(EDATE(c_LastMonth,1-$A156)&lt;c_FirstMonth,"",EDATE(c_LastMonth,1-$A156)))</f>
        <v/>
      </c>
      <c r="C156" t="str">
        <f>IF($B156="","",CHOOSE(MONTH($B156),"Январь","Февраль","Март","Апрель","Май","Июнь","Июль","Август","Сентябрь","Октябрь","Ноябрь","Декабрь")&amp;" "&amp;YEAR($B156))</f>
        <v/>
      </c>
    </row>
    <row r="157" spans="1:3">
      <c r="A157">
        <v>16</v>
      </c>
      <c r="B157" s="130" t="str">
        <f>IF(c_LastMonth="","",IF(EDATE(c_LastMonth,1-$A157)&lt;c_FirstMonth,"",EDATE(c_LastMonth,1-$A157)))</f>
        <v/>
      </c>
      <c r="C157" t="str">
        <f>IF($B157="","",CHOOSE(MONTH($B157),"Январь","Февраль","Март","Апрель","Май","Июнь","Июль","Август","Сентябрь","Октябрь","Ноябрь","Декабрь")&amp;" "&amp;YEAR($B157))</f>
        <v/>
      </c>
    </row>
    <row r="158" spans="1:3">
      <c r="A158">
        <v>17</v>
      </c>
      <c r="B158" s="130" t="str">
        <f>IF(c_LastMonth="","",IF(EDATE(c_LastMonth,1-$A158)&lt;c_FirstMonth,"",EDATE(c_LastMonth,1-$A158)))</f>
        <v/>
      </c>
      <c r="C158" t="str">
        <f>IF($B158="","",CHOOSE(MONTH($B158),"Январь","Февраль","Март","Апрель","Май","Июнь","Июль","Август","Сентябрь","Октябрь","Ноябрь","Декабрь")&amp;" "&amp;YEAR($B158))</f>
        <v/>
      </c>
    </row>
    <row r="159" spans="1:3">
      <c r="A159">
        <v>18</v>
      </c>
      <c r="B159" s="130" t="str">
        <f>IF(c_LastMonth="","",IF(EDATE(c_LastMonth,1-$A159)&lt;c_FirstMonth,"",EDATE(c_LastMonth,1-$A159)))</f>
        <v/>
      </c>
      <c r="C159" t="str">
        <f>IF($B159="","",CHOOSE(MONTH($B159),"Январь","Февраль","Март","Апрель","Май","Июнь","Июль","Август","Сентябрь","Октябрь","Ноябрь","Декабрь")&amp;" "&amp;YEAR($B159))</f>
        <v/>
      </c>
    </row>
    <row r="160" spans="1:3">
      <c r="A160">
        <v>19</v>
      </c>
      <c r="B160" s="130" t="str">
        <f>IF(c_LastMonth="","",IF(EDATE(c_LastMonth,1-$A160)&lt;c_FirstMonth,"",EDATE(c_LastMonth,1-$A160)))</f>
        <v/>
      </c>
      <c r="C160" t="str">
        <f>IF($B160="","",CHOOSE(MONTH($B160),"Январь","Февраль","Март","Апрель","Май","Июнь","Июль","Август","Сентябрь","Октябрь","Ноябрь","Декабрь")&amp;" "&amp;YEAR($B160))</f>
        <v/>
      </c>
    </row>
    <row r="161" spans="1:3">
      <c r="A161">
        <v>20</v>
      </c>
      <c r="B161" s="130" t="str">
        <f>IF(c_LastMonth="","",IF(EDATE(c_LastMonth,1-$A161)&lt;c_FirstMonth,"",EDATE(c_LastMonth,1-$A161)))</f>
        <v/>
      </c>
      <c r="C161" t="str">
        <f>IF($B161="","",CHOOSE(MONTH($B161),"Январь","Февраль","Март","Апрель","Май","Июнь","Июль","Август","Сентябрь","Октябрь","Ноябрь","Декабрь")&amp;" "&amp;YEAR($B161))</f>
        <v/>
      </c>
    </row>
    <row r="162" spans="1:3">
      <c r="A162">
        <v>21</v>
      </c>
      <c r="B162" s="130" t="str">
        <f>IF(c_LastMonth="","",IF(EDATE(c_LastMonth,1-$A162)&lt;c_FirstMonth,"",EDATE(c_LastMonth,1-$A162)))</f>
        <v/>
      </c>
      <c r="C162" t="str">
        <f>IF($B162="","",CHOOSE(MONTH($B162),"Январь","Февраль","Март","Апрель","Май","Июнь","Июль","Август","Сентябрь","Октябрь","Ноябрь","Декабрь")&amp;" "&amp;YEAR($B162))</f>
        <v/>
      </c>
    </row>
    <row r="163" spans="1:3">
      <c r="A163">
        <v>22</v>
      </c>
      <c r="B163" s="130" t="str">
        <f>IF(c_LastMonth="","",IF(EDATE(c_LastMonth,1-$A163)&lt;c_FirstMonth,"",EDATE(c_LastMonth,1-$A163)))</f>
        <v/>
      </c>
      <c r="C163" t="str">
        <f>IF($B163="","",CHOOSE(MONTH($B163),"Январь","Февраль","Март","Апрель","Май","Июнь","Июль","Август","Сентябрь","Октябрь","Ноябрь","Декабрь")&amp;" "&amp;YEAR($B163))</f>
        <v/>
      </c>
    </row>
    <row r="164" spans="1:3">
      <c r="A164">
        <v>23</v>
      </c>
      <c r="B164" s="130" t="str">
        <f>IF(c_LastMonth="","",IF(EDATE(c_LastMonth,1-$A164)&lt;c_FirstMonth,"",EDATE(c_LastMonth,1-$A164)))</f>
        <v/>
      </c>
      <c r="C164" t="str">
        <f>IF($B164="","",CHOOSE(MONTH($B164),"Январь","Февраль","Март","Апрель","Май","Июнь","Июль","Август","Сентябрь","Октябрь","Ноябрь","Декабрь")&amp;" "&amp;YEAR($B164))</f>
        <v/>
      </c>
    </row>
    <row r="165" spans="1:3">
      <c r="A165">
        <v>24</v>
      </c>
      <c r="B165" s="130" t="str">
        <f>IF(c_LastMonth="","",IF(EDATE(c_LastMonth,1-$A165)&lt;c_FirstMonth,"",EDATE(c_LastMonth,1-$A165)))</f>
        <v/>
      </c>
      <c r="C165" t="str">
        <f>IF($B165="","",CHOOSE(MONTH($B165),"Январь","Февраль","Март","Апрель","Май","Июнь","Июль","Август","Сентябрь","Октябрь","Ноябрь","Декабрь")&amp;" "&amp;YEAR($B165))</f>
        <v/>
      </c>
    </row>
    <row r="166" spans="1:3">
      <c r="A166">
        <v>25</v>
      </c>
      <c r="B166" s="130" t="str">
        <f>IF(c_LastMonth="","",IF(EDATE(c_LastMonth,1-$A166)&lt;c_FirstMonth,"",EDATE(c_LastMonth,1-$A166)))</f>
        <v/>
      </c>
      <c r="C166" t="str">
        <f>IF($B166="","",CHOOSE(MONTH($B166),"Январь","Февраль","Март","Апрель","Май","Июнь","Июль","Август","Сентябрь","Октябрь","Ноябрь","Декабрь")&amp;" "&amp;YEAR($B166))</f>
        <v/>
      </c>
    </row>
    <row r="167" spans="1:3">
      <c r="A167">
        <v>26</v>
      </c>
      <c r="B167" s="130" t="str">
        <f>IF(c_LastMonth="","",IF(EDATE(c_LastMonth,1-$A167)&lt;c_FirstMonth,"",EDATE(c_LastMonth,1-$A167)))</f>
        <v/>
      </c>
      <c r="C167" t="str">
        <f>IF($B167="","",CHOOSE(MONTH($B167),"Январь","Февраль","Март","Апрель","Май","Июнь","Июль","Август","Сентябрь","Октябрь","Ноябрь","Декабрь")&amp;" "&amp;YEAR($B167))</f>
        <v/>
      </c>
    </row>
    <row r="168" spans="1:3">
      <c r="A168">
        <v>27</v>
      </c>
      <c r="B168" s="130" t="str">
        <f>IF(c_LastMonth="","",IF(EDATE(c_LastMonth,1-$A168)&lt;c_FirstMonth,"",EDATE(c_LastMonth,1-$A168)))</f>
        <v/>
      </c>
      <c r="C168" t="str">
        <f>IF($B168="","",CHOOSE(MONTH($B168),"Январь","Февраль","Март","Апрель","Май","Июнь","Июль","Август","Сентябрь","Октябрь","Ноябрь","Декабрь")&amp;" "&amp;YEAR($B168))</f>
        <v/>
      </c>
    </row>
    <row r="169" spans="1:3">
      <c r="A169">
        <v>28</v>
      </c>
      <c r="B169" s="130" t="str">
        <f>IF(c_LastMonth="","",IF(EDATE(c_LastMonth,1-$A169)&lt;c_FirstMonth,"",EDATE(c_LastMonth,1-$A169)))</f>
        <v/>
      </c>
      <c r="C169" t="str">
        <f>IF($B169="","",CHOOSE(MONTH($B169),"Январь","Февраль","Март","Апрель","Май","Июнь","Июль","Август","Сентябрь","Октябрь","Ноябрь","Декабрь")&amp;" "&amp;YEAR($B169))</f>
        <v/>
      </c>
    </row>
    <row r="170" spans="1:3">
      <c r="A170">
        <v>29</v>
      </c>
      <c r="B170" s="130" t="str">
        <f>IF(c_LastMonth="","",IF(EDATE(c_LastMonth,1-$A170)&lt;c_FirstMonth,"",EDATE(c_LastMonth,1-$A170)))</f>
        <v/>
      </c>
      <c r="C170" t="str">
        <f>IF($B170="","",CHOOSE(MONTH($B170),"Январь","Февраль","Март","Апрель","Май","Июнь","Июль","Август","Сентябрь","Октябрь","Ноябрь","Декабрь")&amp;" "&amp;YEAR($B170))</f>
        <v/>
      </c>
    </row>
    <row r="171" spans="1:3">
      <c r="A171">
        <v>30</v>
      </c>
      <c r="B171" s="130" t="str">
        <f>IF(c_LastMonth="","",IF(EDATE(c_LastMonth,1-$A171)&lt;c_FirstMonth,"",EDATE(c_LastMonth,1-$A171)))</f>
        <v/>
      </c>
      <c r="C171" t="str">
        <f>IF($B171="","",CHOOSE(MONTH($B171),"Январь","Февраль","Март","Апрель","Май","Июнь","Июль","Август","Сентябрь","Октябрь","Ноябрь","Декабрь")&amp;" "&amp;YEAR($B171))</f>
        <v/>
      </c>
    </row>
    <row r="172" spans="1:3">
      <c r="A172">
        <v>31</v>
      </c>
      <c r="B172" s="130" t="str">
        <f>IF(c_LastMonth="","",IF(EDATE(c_LastMonth,1-$A172)&lt;c_FirstMonth,"",EDATE(c_LastMonth,1-$A172)))</f>
        <v/>
      </c>
      <c r="C172" t="str">
        <f>IF($B172="","",CHOOSE(MONTH($B172),"Январь","Февраль","Март","Апрель","Май","Июнь","Июль","Август","Сентябрь","Октябрь","Ноябрь","Декабрь")&amp;" "&amp;YEAR($B172))</f>
        <v/>
      </c>
    </row>
    <row r="173" spans="1:3">
      <c r="A173">
        <v>32</v>
      </c>
      <c r="B173" s="130" t="str">
        <f>IF(c_LastMonth="","",IF(EDATE(c_LastMonth,1-$A173)&lt;c_FirstMonth,"",EDATE(c_LastMonth,1-$A173)))</f>
        <v/>
      </c>
      <c r="C173" t="str">
        <f>IF($B173="","",CHOOSE(MONTH($B173),"Январь","Февраль","Март","Апрель","Май","Июнь","Июль","Август","Сентябрь","Октябрь","Ноябрь","Декабрь")&amp;" "&amp;YEAR($B173))</f>
        <v/>
      </c>
    </row>
    <row r="174" spans="1:3">
      <c r="A174">
        <v>33</v>
      </c>
      <c r="B174" s="130" t="str">
        <f>IF(c_LastMonth="","",IF(EDATE(c_LastMonth,1-$A174)&lt;c_FirstMonth,"",EDATE(c_LastMonth,1-$A174)))</f>
        <v/>
      </c>
      <c r="C174" t="str">
        <f>IF($B174="","",CHOOSE(MONTH($B174),"Январь","Февраль","Март","Апрель","Май","Июнь","Июль","Август","Сентябрь","Октябрь","Ноябрь","Декабрь")&amp;" "&amp;YEAR($B174))</f>
        <v/>
      </c>
    </row>
    <row r="175" spans="1:3">
      <c r="A175">
        <v>34</v>
      </c>
      <c r="B175" s="130" t="str">
        <f>IF(c_LastMonth="","",IF(EDATE(c_LastMonth,1-$A175)&lt;c_FirstMonth,"",EDATE(c_LastMonth,1-$A175)))</f>
        <v/>
      </c>
      <c r="C175" t="str">
        <f>IF($B175="","",CHOOSE(MONTH($B175),"Январь","Февраль","Март","Апрель","Май","Июнь","Июль","Август","Сентябрь","Октябрь","Ноябрь","Декабрь")&amp;" "&amp;YEAR($B175))</f>
        <v/>
      </c>
    </row>
    <row r="176" spans="1:3">
      <c r="A176">
        <v>35</v>
      </c>
      <c r="B176" s="130" t="str">
        <f>IF(c_LastMonth="","",IF(EDATE(c_LastMonth,1-$A176)&lt;c_FirstMonth,"",EDATE(c_LastMonth,1-$A176)))</f>
        <v/>
      </c>
      <c r="C176" t="str">
        <f>IF($B176="","",CHOOSE(MONTH($B176),"Январь","Февраль","Март","Апрель","Май","Июнь","Июль","Август","Сентябрь","Октябрь","Ноябрь","Декабрь")&amp;" "&amp;YEAR($B176))</f>
        <v/>
      </c>
    </row>
    <row r="177" spans="1:3">
      <c r="A177">
        <v>36</v>
      </c>
      <c r="B177" s="130" t="str">
        <f>IF(c_LastMonth="","",IF(EDATE(c_LastMonth,1-$A177)&lt;c_FirstMonth,"",EDATE(c_LastMonth,1-$A177)))</f>
        <v/>
      </c>
      <c r="C177" t="str">
        <f>IF($B177="","",CHOOSE(MONTH($B177),"Январь","Февраль","Март","Апрель","Май","Июнь","Июль","Август","Сентябрь","Октябрь","Ноябрь","Декабрь")&amp;" "&amp;YEAR($B177))</f>
        <v/>
      </c>
    </row>
    <row r="178" spans="1:3">
      <c r="A178">
        <v>37</v>
      </c>
      <c r="B178" s="130" t="str">
        <f>IF(c_LastMonth="","",IF(EDATE(c_LastMonth,1-$A178)&lt;c_FirstMonth,"",EDATE(c_LastMonth,1-$A178)))</f>
        <v/>
      </c>
      <c r="C178" t="str">
        <f>IF($B178="","",CHOOSE(MONTH($B178),"Январь","Февраль","Март","Апрель","Май","Июнь","Июль","Август","Сентябрь","Октябрь","Ноябрь","Декабрь")&amp;" "&amp;YEAR($B178))</f>
        <v/>
      </c>
    </row>
    <row r="179" spans="1:3">
      <c r="A179">
        <v>38</v>
      </c>
      <c r="B179" s="130" t="str">
        <f>IF(c_LastMonth="","",IF(EDATE(c_LastMonth,1-$A179)&lt;c_FirstMonth,"",EDATE(c_LastMonth,1-$A179)))</f>
        <v/>
      </c>
      <c r="C179" t="str">
        <f>IF($B179="","",CHOOSE(MONTH($B179),"Январь","Февраль","Март","Апрель","Май","Июнь","Июль","Август","Сентябрь","Октябрь","Ноябрь","Декабрь")&amp;" "&amp;YEAR($B179))</f>
        <v/>
      </c>
    </row>
    <row r="180" spans="1:3">
      <c r="A180">
        <v>39</v>
      </c>
      <c r="B180" s="130" t="str">
        <f>IF(c_LastMonth="","",IF(EDATE(c_LastMonth,1-$A180)&lt;c_FirstMonth,"",EDATE(c_LastMonth,1-$A180)))</f>
        <v/>
      </c>
      <c r="C180" t="str">
        <f>IF($B180="","",CHOOSE(MONTH($B180),"Январь","Февраль","Март","Апрель","Май","Июнь","Июль","Август","Сентябрь","Октябрь","Ноябрь","Декабрь")&amp;" "&amp;YEAR($B180))</f>
        <v/>
      </c>
    </row>
    <row r="181" spans="1:3">
      <c r="A181">
        <v>40</v>
      </c>
      <c r="B181" s="130" t="str">
        <f>IF(c_LastMonth="","",IF(EDATE(c_LastMonth,1-$A181)&lt;c_FirstMonth,"",EDATE(c_LastMonth,1-$A181)))</f>
        <v/>
      </c>
      <c r="C181" t="str">
        <f>IF($B181="","",CHOOSE(MONTH($B181),"Январь","Февраль","Март","Апрель","Май","Июнь","Июль","Август","Сентябрь","Октябрь","Ноябрь","Декабрь")&amp;" "&amp;YEAR($B181))</f>
        <v/>
      </c>
    </row>
    <row r="182" spans="1:3">
      <c r="A182">
        <v>41</v>
      </c>
      <c r="B182" s="130" t="str">
        <f>IF(c_LastMonth="","",IF(EDATE(c_LastMonth,1-$A182)&lt;c_FirstMonth,"",EDATE(c_LastMonth,1-$A182)))</f>
        <v/>
      </c>
      <c r="C182" t="str">
        <f>IF($B182="","",CHOOSE(MONTH($B182),"Январь","Февраль","Март","Апрель","Май","Июнь","Июль","Август","Сентябрь","Октябрь","Ноябрь","Декабрь")&amp;" "&amp;YEAR($B182))</f>
        <v/>
      </c>
    </row>
    <row r="183" spans="1:3">
      <c r="A183">
        <v>42</v>
      </c>
      <c r="B183" s="130" t="str">
        <f>IF(c_LastMonth="","",IF(EDATE(c_LastMonth,1-$A183)&lt;c_FirstMonth,"",EDATE(c_LastMonth,1-$A183)))</f>
        <v/>
      </c>
      <c r="C183" t="str">
        <f>IF($B183="","",CHOOSE(MONTH($B183),"Январь","Февраль","Март","Апрель","Май","Июнь","Июль","Август","Сентябрь","Октябрь","Ноябрь","Декабрь")&amp;" "&amp;YEAR($B183))</f>
        <v/>
      </c>
    </row>
    <row r="184" spans="1:3">
      <c r="A184">
        <v>43</v>
      </c>
      <c r="B184" s="130" t="str">
        <f>IF(c_LastMonth="","",IF(EDATE(c_LastMonth,1-$A184)&lt;c_FirstMonth,"",EDATE(c_LastMonth,1-$A184)))</f>
        <v/>
      </c>
      <c r="C184" t="str">
        <f>IF($B184="","",CHOOSE(MONTH($B184),"Январь","Февраль","Март","Апрель","Май","Июнь","Июль","Август","Сентябрь","Октябрь","Ноябрь","Декабрь")&amp;" "&amp;YEAR($B184))</f>
        <v/>
      </c>
    </row>
    <row r="185" spans="1:3">
      <c r="A185">
        <v>44</v>
      </c>
      <c r="B185" s="130" t="str">
        <f>IF(c_LastMonth="","",IF(EDATE(c_LastMonth,1-$A185)&lt;c_FirstMonth,"",EDATE(c_LastMonth,1-$A185)))</f>
        <v/>
      </c>
      <c r="C185" t="str">
        <f>IF($B185="","",CHOOSE(MONTH($B185),"Январь","Февраль","Март","Апрель","Май","Июнь","Июль","Август","Сентябрь","Октябрь","Ноябрь","Декабрь")&amp;" "&amp;YEAR($B185))</f>
        <v/>
      </c>
    </row>
    <row r="186" spans="1:3">
      <c r="A186">
        <v>45</v>
      </c>
      <c r="B186" s="130" t="str">
        <f>IF(c_LastMonth="","",IF(EDATE(c_LastMonth,1-$A186)&lt;c_FirstMonth,"",EDATE(c_LastMonth,1-$A186)))</f>
        <v/>
      </c>
      <c r="C186" t="str">
        <f>IF($B186="","",CHOOSE(MONTH($B186),"Январь","Февраль","Март","Апрель","Май","Июнь","Июль","Август","Сентябрь","Октябрь","Ноябрь","Декабрь")&amp;" "&amp;YEAR($B186))</f>
        <v/>
      </c>
    </row>
    <row r="187" spans="1:3">
      <c r="A187">
        <v>46</v>
      </c>
      <c r="B187" s="130" t="str">
        <f>IF(c_LastMonth="","",IF(EDATE(c_LastMonth,1-$A187)&lt;c_FirstMonth,"",EDATE(c_LastMonth,1-$A187)))</f>
        <v/>
      </c>
      <c r="C187" t="str">
        <f>IF($B187="","",CHOOSE(MONTH($B187),"Январь","Февраль","Март","Апрель","Май","Июнь","Июль","Август","Сентябрь","Октябрь","Ноябрь","Декабрь")&amp;" "&amp;YEAR($B187))</f>
        <v/>
      </c>
    </row>
    <row r="188" spans="1:3">
      <c r="A188">
        <v>47</v>
      </c>
      <c r="B188" s="130" t="str">
        <f>IF(c_LastMonth="","",IF(EDATE(c_LastMonth,1-$A188)&lt;c_FirstMonth,"",EDATE(c_LastMonth,1-$A188)))</f>
        <v/>
      </c>
      <c r="C188" t="str">
        <f>IF($B188="","",CHOOSE(MONTH($B188),"Январь","Февраль","Март","Апрель","Май","Июнь","Июль","Август","Сентябрь","Октябрь","Ноябрь","Декабрь")&amp;" "&amp;YEAR($B188))</f>
        <v/>
      </c>
    </row>
    <row r="189" spans="1:3">
      <c r="A189">
        <v>48</v>
      </c>
      <c r="B189" s="130" t="str">
        <f>IF(c_LastMonth="","",IF(EDATE(c_LastMonth,1-$A189)&lt;c_FirstMonth,"",EDATE(c_LastMonth,1-$A189)))</f>
        <v/>
      </c>
      <c r="C189" t="str">
        <f>IF($B189="","",CHOOSE(MONTH($B189),"Январь","Февраль","Март","Апрель","Май","Июнь","Июль","Август","Сентябрь","Октябрь","Ноябрь","Декабрь")&amp;" "&amp;YEAR($B189))</f>
        <v/>
      </c>
    </row>
    <row r="190" spans="1:3">
      <c r="A190">
        <v>49</v>
      </c>
      <c r="B190" s="130" t="str">
        <f>IF(c_LastMonth="","",IF(EDATE(c_LastMonth,1-$A190)&lt;c_FirstMonth,"",EDATE(c_LastMonth,1-$A190)))</f>
        <v/>
      </c>
      <c r="C190" t="str">
        <f>IF($B190="","",CHOOSE(MONTH($B190),"Январь","Февраль","Март","Апрель","Май","Июнь","Июль","Август","Сентябрь","Октябрь","Ноябрь","Декабрь")&amp;" "&amp;YEAR($B190))</f>
        <v/>
      </c>
    </row>
    <row r="191" spans="1:3">
      <c r="A191">
        <v>50</v>
      </c>
      <c r="B191" s="130" t="str">
        <f>IF(c_LastMonth="","",IF(EDATE(c_LastMonth,1-$A191)&lt;c_FirstMonth,"",EDATE(c_LastMonth,1-$A191)))</f>
        <v/>
      </c>
      <c r="C191" t="str">
        <f>IF($B191="","",CHOOSE(MONTH($B191),"Январь","Февраль","Март","Апрель","Май","Июнь","Июль","Август","Сентябрь","Октябрь","Ноябрь","Декабрь")&amp;" "&amp;YEAR($B191))</f>
        <v/>
      </c>
    </row>
    <row r="192" spans="1:3">
      <c r="A192">
        <v>51</v>
      </c>
      <c r="B192" s="130" t="str">
        <f>IF(c_LastMonth="","",IF(EDATE(c_LastMonth,1-$A192)&lt;c_FirstMonth,"",EDATE(c_LastMonth,1-$A192)))</f>
        <v/>
      </c>
      <c r="C192" t="str">
        <f>IF($B192="","",CHOOSE(MONTH($B192),"Январь","Февраль","Март","Апрель","Май","Июнь","Июль","Август","Сентябрь","Октябрь","Ноябрь","Декабрь")&amp;" "&amp;YEAR($B192))</f>
        <v/>
      </c>
    </row>
    <row r="193" spans="1:3">
      <c r="A193">
        <v>52</v>
      </c>
      <c r="B193" s="130" t="str">
        <f>IF(c_LastMonth="","",IF(EDATE(c_LastMonth,1-$A193)&lt;c_FirstMonth,"",EDATE(c_LastMonth,1-$A193)))</f>
        <v/>
      </c>
      <c r="C193" t="str">
        <f>IF($B193="","",CHOOSE(MONTH($B193),"Январь","Февраль","Март","Апрель","Май","Июнь","Июль","Август","Сентябрь","Октябрь","Ноябрь","Декабрь")&amp;" "&amp;YEAR($B193))</f>
        <v/>
      </c>
    </row>
    <row r="194" spans="1:3">
      <c r="A194">
        <v>53</v>
      </c>
      <c r="B194" s="130" t="str">
        <f>IF(c_LastMonth="","",IF(EDATE(c_LastMonth,1-$A194)&lt;c_FirstMonth,"",EDATE(c_LastMonth,1-$A194)))</f>
        <v/>
      </c>
      <c r="C194" t="str">
        <f>IF($B194="","",CHOOSE(MONTH($B194),"Январь","Февраль","Март","Апрель","Май","Июнь","Июль","Август","Сентябрь","Октябрь","Ноябрь","Декабрь")&amp;" "&amp;YEAR($B194))</f>
        <v/>
      </c>
    </row>
    <row r="195" spans="1:3">
      <c r="A195">
        <v>54</v>
      </c>
      <c r="B195" s="130" t="str">
        <f>IF(c_LastMonth="","",IF(EDATE(c_LastMonth,1-$A195)&lt;c_FirstMonth,"",EDATE(c_LastMonth,1-$A195)))</f>
        <v/>
      </c>
      <c r="C195" t="str">
        <f>IF($B195="","",CHOOSE(MONTH($B195),"Январь","Февраль","Март","Апрель","Май","Июнь","Июль","Август","Сентябрь","Октябрь","Ноябрь","Декабрь")&amp;" "&amp;YEAR($B195))</f>
        <v/>
      </c>
    </row>
    <row r="196" spans="1:3">
      <c r="A196">
        <v>55</v>
      </c>
      <c r="B196" s="130" t="str">
        <f>IF(c_LastMonth="","",IF(EDATE(c_LastMonth,1-$A196)&lt;c_FirstMonth,"",EDATE(c_LastMonth,1-$A196)))</f>
        <v/>
      </c>
      <c r="C196" t="str">
        <f>IF($B196="","",CHOOSE(MONTH($B196),"Январь","Февраль","Март","Апрель","Май","Июнь","Июль","Август","Сентябрь","Октябрь","Ноябрь","Декабрь")&amp;" "&amp;YEAR($B196))</f>
        <v/>
      </c>
    </row>
    <row r="197" spans="1:3">
      <c r="A197">
        <v>56</v>
      </c>
      <c r="B197" s="130" t="str">
        <f>IF(c_LastMonth="","",IF(EDATE(c_LastMonth,1-$A197)&lt;c_FirstMonth,"",EDATE(c_LastMonth,1-$A197)))</f>
        <v/>
      </c>
      <c r="C197" t="str">
        <f>IF($B197="","",CHOOSE(MONTH($B197),"Январь","Февраль","Март","Апрель","Май","Июнь","Июль","Август","Сентябрь","Октябрь","Ноябрь","Декабрь")&amp;" "&amp;YEAR($B197))</f>
        <v/>
      </c>
    </row>
    <row r="198" spans="1:3">
      <c r="A198">
        <v>57</v>
      </c>
      <c r="B198" s="130" t="str">
        <f>IF(c_LastMonth="","",IF(EDATE(c_LastMonth,1-$A198)&lt;c_FirstMonth,"",EDATE(c_LastMonth,1-$A198)))</f>
        <v/>
      </c>
      <c r="C198" t="str">
        <f>IF($B198="","",CHOOSE(MONTH($B198),"Январь","Февраль","Март","Апрель","Май","Июнь","Июль","Август","Сентябрь","Октябрь","Ноябрь","Декабрь")&amp;" "&amp;YEAR($B198))</f>
        <v/>
      </c>
    </row>
    <row r="199" spans="1:3">
      <c r="A199">
        <v>58</v>
      </c>
      <c r="B199" s="130" t="str">
        <f>IF(c_LastMonth="","",IF(EDATE(c_LastMonth,1-$A199)&lt;c_FirstMonth,"",EDATE(c_LastMonth,1-$A199)))</f>
        <v/>
      </c>
      <c r="C199" t="str">
        <f>IF($B199="","",CHOOSE(MONTH($B199),"Январь","Февраль","Март","Апрель","Май","Июнь","Июль","Август","Сентябрь","Октябрь","Ноябрь","Декабрь")&amp;" "&amp;YEAR($B199))</f>
        <v/>
      </c>
    </row>
    <row r="200" spans="1:3">
      <c r="A200">
        <v>59</v>
      </c>
      <c r="B200" s="130" t="str">
        <f>IF(c_LastMonth="","",IF(EDATE(c_LastMonth,1-$A200)&lt;c_FirstMonth,"",EDATE(c_LastMonth,1-$A200)))</f>
        <v/>
      </c>
      <c r="C200" t="str">
        <f>IF($B200="","",CHOOSE(MONTH($B200),"Январь","Февраль","Март","Апрель","Май","Июнь","Июль","Август","Сентябрь","Октябрь","Ноябрь","Декабрь")&amp;" "&amp;YEAR($B200))</f>
        <v/>
      </c>
    </row>
    <row r="201" spans="1:3">
      <c r="A201">
        <v>60</v>
      </c>
      <c r="B201" s="130" t="str">
        <f>IF(c_LastMonth="","",IF(EDATE(c_LastMonth,1-$A201)&lt;c_FirstMonth,"",EDATE(c_LastMonth,1-$A201)))</f>
        <v/>
      </c>
      <c r="C201" t="str">
        <f>IF($B201="","",CHOOSE(MONTH($B201),"Январь","Февраль","Март","Апрель","Май","Июнь","Июль","Август","Сентябрь","Октябрь","Ноябрь","Декабрь")&amp;" "&amp;YEAR($B201))</f>
        <v/>
      </c>
    </row>
    <row r="202" spans="1:3">
      <c r="A202">
        <v>61</v>
      </c>
      <c r="B202" s="130" t="str">
        <f>IF(c_LastMonth="","",IF(EDATE(c_LastMonth,1-$A202)&lt;c_FirstMonth,"",EDATE(c_LastMonth,1-$A202)))</f>
        <v/>
      </c>
      <c r="C202" t="str">
        <f>IF($B202="","",CHOOSE(MONTH($B202),"Январь","Февраль","Март","Апрель","Май","Июнь","Июль","Август","Сентябрь","Октябрь","Ноябрь","Декабрь")&amp;" "&amp;YEAR($B202))</f>
        <v/>
      </c>
    </row>
    <row r="203" spans="1:3">
      <c r="A203">
        <v>62</v>
      </c>
      <c r="B203" s="130" t="str">
        <f>IF(c_LastMonth="","",IF(EDATE(c_LastMonth,1-$A203)&lt;c_FirstMonth,"",EDATE(c_LastMonth,1-$A203)))</f>
        <v/>
      </c>
      <c r="C203" t="str">
        <f>IF($B203="","",CHOOSE(MONTH($B203),"Январь","Февраль","Март","Апрель","Май","Июнь","Июль","Август","Сентябрь","Октябрь","Ноябрь","Декабрь")&amp;" "&amp;YEAR($B203))</f>
        <v/>
      </c>
    </row>
    <row r="204" spans="1:3">
      <c r="A204">
        <v>63</v>
      </c>
      <c r="B204" s="130" t="str">
        <f>IF(c_LastMonth="","",IF(EDATE(c_LastMonth,1-$A204)&lt;c_FirstMonth,"",EDATE(c_LastMonth,1-$A204)))</f>
        <v/>
      </c>
      <c r="C204" t="str">
        <f>IF($B204="","",CHOOSE(MONTH($B204),"Январь","Февраль","Март","Апрель","Май","Июнь","Июль","Август","Сентябрь","Октябрь","Ноябрь","Декабрь")&amp;" "&amp;YEAR($B204))</f>
        <v/>
      </c>
    </row>
    <row r="205" spans="1:3">
      <c r="A205">
        <v>64</v>
      </c>
      <c r="B205" s="130" t="str">
        <f>IF(c_LastMonth="","",IF(EDATE(c_LastMonth,1-$A205)&lt;c_FirstMonth,"",EDATE(c_LastMonth,1-$A205)))</f>
        <v/>
      </c>
      <c r="C205" t="str">
        <f>IF($B205="","",CHOOSE(MONTH($B205),"Январь","Февраль","Март","Апрель","Май","Июнь","Июль","Август","Сентябрь","Октябрь","Ноябрь","Декабрь")&amp;" "&amp;YEAR($B205))</f>
        <v/>
      </c>
    </row>
    <row r="206" spans="1:3">
      <c r="A206">
        <v>65</v>
      </c>
      <c r="B206" s="130" t="str">
        <f>IF(c_LastMonth="","",IF(EDATE(c_LastMonth,1-$A206)&lt;c_FirstMonth,"",EDATE(c_LastMonth,1-$A206)))</f>
        <v/>
      </c>
      <c r="C206" t="str">
        <f>IF($B206="","",CHOOSE(MONTH($B206),"Январь","Февраль","Март","Апрель","Май","Июнь","Июль","Август","Сентябрь","Октябрь","Ноябрь","Декабрь")&amp;" "&amp;YEAR($B206))</f>
        <v/>
      </c>
    </row>
    <row r="207" spans="1:3">
      <c r="A207">
        <v>66</v>
      </c>
      <c r="B207" s="130" t="str">
        <f>IF(c_LastMonth="","",IF(EDATE(c_LastMonth,1-$A207)&lt;c_FirstMonth,"",EDATE(c_LastMonth,1-$A207)))</f>
        <v/>
      </c>
      <c r="C207" t="str">
        <f>IF($B207="","",CHOOSE(MONTH($B207),"Январь","Февраль","Март","Апрель","Май","Июнь","Июль","Август","Сентябрь","Октябрь","Ноябрь","Декабрь")&amp;" "&amp;YEAR($B207))</f>
        <v/>
      </c>
    </row>
    <row r="208" spans="1:3">
      <c r="A208">
        <v>67</v>
      </c>
      <c r="B208" s="130" t="str">
        <f>IF(c_LastMonth="","",IF(EDATE(c_LastMonth,1-$A208)&lt;c_FirstMonth,"",EDATE(c_LastMonth,1-$A208)))</f>
        <v/>
      </c>
      <c r="C208" t="str">
        <f>IF($B208="","",CHOOSE(MONTH($B208),"Январь","Февраль","Март","Апрель","Май","Июнь","Июль","Август","Сентябрь","Октябрь","Ноябрь","Декабрь")&amp;" "&amp;YEAR($B208))</f>
        <v/>
      </c>
    </row>
    <row r="209" spans="1:3">
      <c r="A209">
        <v>68</v>
      </c>
      <c r="B209" s="130" t="str">
        <f>IF(c_LastMonth="","",IF(EDATE(c_LastMonth,1-$A209)&lt;c_FirstMonth,"",EDATE(c_LastMonth,1-$A209)))</f>
        <v/>
      </c>
      <c r="C209" t="str">
        <f>IF($B209="","",CHOOSE(MONTH($B209),"Январь","Февраль","Март","Апрель","Май","Июнь","Июль","Август","Сентябрь","Октябрь","Ноябрь","Декабрь")&amp;" "&amp;YEAR($B209))</f>
        <v/>
      </c>
    </row>
    <row r="210" spans="1:3">
      <c r="A210">
        <v>69</v>
      </c>
      <c r="B210" s="130" t="str">
        <f>IF(c_LastMonth="","",IF(EDATE(c_LastMonth,1-$A210)&lt;c_FirstMonth,"",EDATE(c_LastMonth,1-$A210)))</f>
        <v/>
      </c>
      <c r="C210" t="str">
        <f>IF($B210="","",CHOOSE(MONTH($B210),"Январь","Февраль","Март","Апрель","Май","Июнь","Июль","Август","Сентябрь","Октябрь","Ноябрь","Декабрь")&amp;" "&amp;YEAR($B210))</f>
        <v/>
      </c>
    </row>
    <row r="211" spans="1:3">
      <c r="A211">
        <v>70</v>
      </c>
      <c r="B211" s="130" t="str">
        <f>IF(c_LastMonth="","",IF(EDATE(c_LastMonth,1-$A211)&lt;c_FirstMonth,"",EDATE(c_LastMonth,1-$A211)))</f>
        <v/>
      </c>
      <c r="C211" t="str">
        <f>IF($B211="","",CHOOSE(MONTH($B211),"Январь","Февраль","Март","Апрель","Май","Июнь","Июль","Август","Сентябрь","Октябрь","Ноябрь","Декабрь")&amp;" "&amp;YEAR($B211))</f>
        <v/>
      </c>
    </row>
    <row r="212" spans="1:3">
      <c r="A212">
        <v>71</v>
      </c>
      <c r="B212" s="130" t="str">
        <f>IF(c_LastMonth="","",IF(EDATE(c_LastMonth,1-$A212)&lt;c_FirstMonth,"",EDATE(c_LastMonth,1-$A212)))</f>
        <v/>
      </c>
      <c r="C212" t="str">
        <f>IF($B212="","",CHOOSE(MONTH($B212),"Январь","Февраль","Март","Апрель","Май","Июнь","Июль","Август","Сентябрь","Октябрь","Ноябрь","Декабрь")&amp;" "&amp;YEAR($B212))</f>
        <v/>
      </c>
    </row>
    <row r="213" spans="1:3">
      <c r="A213">
        <v>72</v>
      </c>
      <c r="B213" s="130" t="str">
        <f>IF(c_LastMonth="","",IF(EDATE(c_LastMonth,1-$A213)&lt;c_FirstMonth,"",EDATE(c_LastMonth,1-$A213)))</f>
        <v/>
      </c>
      <c r="C213" t="str">
        <f>IF($B213="","",CHOOSE(MONTH($B213),"Январь","Февраль","Март","Апрель","Май","Июнь","Июль","Август","Сентябрь","Октябрь","Ноябрь","Декабрь")&amp;" "&amp;YEAR($B213))</f>
        <v/>
      </c>
    </row>
    <row r="214" spans="1:3">
      <c r="A214">
        <v>73</v>
      </c>
      <c r="B214" s="130" t="str">
        <f>IF(c_LastMonth="","",IF(EDATE(c_LastMonth,1-$A214)&lt;c_FirstMonth,"",EDATE(c_LastMonth,1-$A214)))</f>
        <v/>
      </c>
      <c r="C214" t="str">
        <f>IF($B214="","",CHOOSE(MONTH($B214),"Январь","Февраль","Март","Апрель","Май","Июнь","Июль","Август","Сентябрь","Октябрь","Ноябрь","Декабрь")&amp;" "&amp;YEAR($B214))</f>
        <v/>
      </c>
    </row>
    <row r="215" spans="1:3">
      <c r="A215">
        <v>74</v>
      </c>
      <c r="B215" s="130" t="str">
        <f>IF(c_LastMonth="","",IF(EDATE(c_LastMonth,1-$A215)&lt;c_FirstMonth,"",EDATE(c_LastMonth,1-$A215)))</f>
        <v/>
      </c>
      <c r="C215" t="str">
        <f>IF($B215="","",CHOOSE(MONTH($B215),"Январь","Февраль","Март","Апрель","Май","Июнь","Июль","Август","Сентябрь","Октябрь","Ноябрь","Декабрь")&amp;" "&amp;YEAR($B215))</f>
        <v/>
      </c>
    </row>
    <row r="216" spans="1:3">
      <c r="A216">
        <v>75</v>
      </c>
      <c r="B216" s="130" t="str">
        <f>IF(c_LastMonth="","",IF(EDATE(c_LastMonth,1-$A216)&lt;c_FirstMonth,"",EDATE(c_LastMonth,1-$A216)))</f>
        <v/>
      </c>
      <c r="C216" t="str">
        <f>IF($B216="","",CHOOSE(MONTH($B216),"Январь","Февраль","Март","Апрель","Май","Июнь","Июль","Август","Сентябрь","Октябрь","Ноябрь","Декабрь")&amp;" "&amp;YEAR($B216))</f>
        <v/>
      </c>
    </row>
    <row r="217" spans="1:3">
      <c r="A217">
        <v>76</v>
      </c>
      <c r="B217" s="130" t="str">
        <f>IF(c_LastMonth="","",IF(EDATE(c_LastMonth,1-$A217)&lt;c_FirstMonth,"",EDATE(c_LastMonth,1-$A217)))</f>
        <v/>
      </c>
      <c r="C217" t="str">
        <f>IF($B217="","",CHOOSE(MONTH($B217),"Январь","Февраль","Март","Апрель","Май","Июнь","Июль","Август","Сентябрь","Октябрь","Ноябрь","Декабрь")&amp;" "&amp;YEAR($B217))</f>
        <v/>
      </c>
    </row>
    <row r="218" spans="1:3">
      <c r="A218">
        <v>77</v>
      </c>
      <c r="B218" s="130" t="str">
        <f>IF(c_LastMonth="","",IF(EDATE(c_LastMonth,1-$A218)&lt;c_FirstMonth,"",EDATE(c_LastMonth,1-$A218)))</f>
        <v/>
      </c>
      <c r="C218" t="str">
        <f>IF($B218="","",CHOOSE(MONTH($B218),"Январь","Февраль","Март","Апрель","Май","Июнь","Июль","Август","Сентябрь","Октябрь","Ноябрь","Декабрь")&amp;" "&amp;YEAR($B218))</f>
        <v/>
      </c>
    </row>
    <row r="219" spans="1:3">
      <c r="A219">
        <v>78</v>
      </c>
      <c r="B219" s="130" t="str">
        <f>IF(c_LastMonth="","",IF(EDATE(c_LastMonth,1-$A219)&lt;c_FirstMonth,"",EDATE(c_LastMonth,1-$A219)))</f>
        <v/>
      </c>
      <c r="C219" t="str">
        <f>IF($B219="","",CHOOSE(MONTH($B219),"Январь","Февраль","Март","Апрель","Май","Июнь","Июль","Август","Сентябрь","Октябрь","Ноябрь","Декабрь")&amp;" "&amp;YEAR($B219))</f>
        <v/>
      </c>
    </row>
    <row r="220" spans="1:3">
      <c r="A220">
        <v>79</v>
      </c>
      <c r="B220" s="130" t="str">
        <f>IF(c_LastMonth="","",IF(EDATE(c_LastMonth,1-$A220)&lt;c_FirstMonth,"",EDATE(c_LastMonth,1-$A220)))</f>
        <v/>
      </c>
      <c r="C220" t="str">
        <f>IF($B220="","",CHOOSE(MONTH($B220),"Январь","Февраль","Март","Апрель","Май","Июнь","Июль","Август","Сентябрь","Октябрь","Ноябрь","Декабрь")&amp;" "&amp;YEAR($B220))</f>
        <v/>
      </c>
    </row>
    <row r="221" spans="1:3">
      <c r="A221">
        <v>80</v>
      </c>
      <c r="B221" s="130" t="str">
        <f>IF(c_LastMonth="","",IF(EDATE(c_LastMonth,1-$A221)&lt;c_FirstMonth,"",EDATE(c_LastMonth,1-$A221)))</f>
        <v/>
      </c>
      <c r="C221" t="str">
        <f>IF($B221="","",CHOOSE(MONTH($B221),"Январь","Февраль","Март","Апрель","Май","Июнь","Июль","Август","Сентябрь","Октябрь","Ноябрь","Декабрь")&amp;" "&amp;YEAR($B221))</f>
        <v/>
      </c>
    </row>
    <row r="222" spans="1:3">
      <c r="A222">
        <v>81</v>
      </c>
      <c r="B222" s="130" t="str">
        <f>IF(c_LastMonth="","",IF(EDATE(c_LastMonth,1-$A222)&lt;c_FirstMonth,"",EDATE(c_LastMonth,1-$A222)))</f>
        <v/>
      </c>
      <c r="C222" t="str">
        <f>IF($B222="","",CHOOSE(MONTH($B222),"Январь","Февраль","Март","Апрель","Май","Июнь","Июль","Август","Сентябрь","Октябрь","Ноябрь","Декабрь")&amp;" "&amp;YEAR($B222))</f>
        <v/>
      </c>
    </row>
    <row r="223" spans="1:3">
      <c r="A223">
        <v>82</v>
      </c>
      <c r="B223" s="130" t="str">
        <f>IF(c_LastMonth="","",IF(EDATE(c_LastMonth,1-$A223)&lt;c_FirstMonth,"",EDATE(c_LastMonth,1-$A223)))</f>
        <v/>
      </c>
      <c r="C223" t="str">
        <f>IF($B223="","",CHOOSE(MONTH($B223),"Январь","Февраль","Март","Апрель","Май","Июнь","Июль","Август","Сентябрь","Октябрь","Ноябрь","Декабрь")&amp;" "&amp;YEAR($B223))</f>
        <v/>
      </c>
    </row>
    <row r="224" spans="1:3">
      <c r="A224">
        <v>83</v>
      </c>
      <c r="B224" s="130" t="str">
        <f>IF(c_LastMonth="","",IF(EDATE(c_LastMonth,1-$A224)&lt;c_FirstMonth,"",EDATE(c_LastMonth,1-$A224)))</f>
        <v/>
      </c>
      <c r="C224" t="str">
        <f>IF($B224="","",CHOOSE(MONTH($B224),"Январь","Февраль","Март","Апрель","Май","Июнь","Июль","Август","Сентябрь","Октябрь","Ноябрь","Декабрь")&amp;" "&amp;YEAR($B224))</f>
        <v/>
      </c>
    </row>
    <row r="225" spans="1:3">
      <c r="A225">
        <v>84</v>
      </c>
      <c r="B225" s="130" t="str">
        <f>IF(c_LastMonth="","",IF(EDATE(c_LastMonth,1-$A225)&lt;c_FirstMonth,"",EDATE(c_LastMonth,1-$A225)))</f>
        <v/>
      </c>
      <c r="C225" t="str">
        <f>IF($B225="","",CHOOSE(MONTH($B225),"Январь","Февраль","Март","Апрель","Май","Июнь","Июль","Август","Сентябрь","Октябрь","Ноябрь","Декабрь")&amp;" "&amp;YEAR($B225))</f>
        <v/>
      </c>
    </row>
    <row r="226" spans="1:3">
      <c r="A226">
        <v>85</v>
      </c>
      <c r="B226" s="130" t="str">
        <f>IF(c_LastMonth="","",IF(EDATE(c_LastMonth,1-$A226)&lt;c_FirstMonth,"",EDATE(c_LastMonth,1-$A226)))</f>
        <v/>
      </c>
      <c r="C226" t="str">
        <f>IF($B226="","",CHOOSE(MONTH($B226),"Январь","Февраль","Март","Апрель","Май","Июнь","Июль","Август","Сентябрь","Октябрь","Ноябрь","Декабрь")&amp;" "&amp;YEAR($B226))</f>
        <v/>
      </c>
    </row>
    <row r="227" spans="1:3">
      <c r="A227">
        <v>86</v>
      </c>
      <c r="B227" s="130" t="str">
        <f>IF(c_LastMonth="","",IF(EDATE(c_LastMonth,1-$A227)&lt;c_FirstMonth,"",EDATE(c_LastMonth,1-$A227)))</f>
        <v/>
      </c>
      <c r="C227" t="str">
        <f>IF($B227="","",CHOOSE(MONTH($B227),"Январь","Февраль","Март","Апрель","Май","Июнь","Июль","Август","Сентябрь","Октябрь","Ноябрь","Декабрь")&amp;" "&amp;YEAR($B227))</f>
        <v/>
      </c>
    </row>
    <row r="228" spans="1:3">
      <c r="A228">
        <v>87</v>
      </c>
      <c r="B228" s="130" t="str">
        <f>IF(c_LastMonth="","",IF(EDATE(c_LastMonth,1-$A228)&lt;c_FirstMonth,"",EDATE(c_LastMonth,1-$A228)))</f>
        <v/>
      </c>
      <c r="C228" t="str">
        <f>IF($B228="","",CHOOSE(MONTH($B228),"Январь","Февраль","Март","Апрель","Май","Июнь","Июль","Август","Сентябрь","Октябрь","Ноябрь","Декабрь")&amp;" "&amp;YEAR($B228))</f>
        <v/>
      </c>
    </row>
    <row r="229" spans="1:3">
      <c r="A229">
        <v>88</v>
      </c>
      <c r="B229" s="130" t="str">
        <f>IF(c_LastMonth="","",IF(EDATE(c_LastMonth,1-$A229)&lt;c_FirstMonth,"",EDATE(c_LastMonth,1-$A229)))</f>
        <v/>
      </c>
      <c r="C229" t="str">
        <f>IF($B229="","",CHOOSE(MONTH($B229),"Январь","Февраль","Март","Апрель","Май","Июнь","Июль","Август","Сентябрь","Октябрь","Ноябрь","Декабрь")&amp;" "&amp;YEAR($B229))</f>
        <v/>
      </c>
    </row>
    <row r="230" spans="1:3">
      <c r="A230">
        <v>89</v>
      </c>
      <c r="B230" s="130" t="str">
        <f>IF(c_LastMonth="","",IF(EDATE(c_LastMonth,1-$A230)&lt;c_FirstMonth,"",EDATE(c_LastMonth,1-$A230)))</f>
        <v/>
      </c>
      <c r="C230" t="str">
        <f>IF($B230="","",CHOOSE(MONTH($B230),"Январь","Февраль","Март","Апрель","Май","Июнь","Июль","Август","Сентябрь","Октябрь","Ноябрь","Декабрь")&amp;" "&amp;YEAR($B230))</f>
        <v/>
      </c>
    </row>
    <row r="231" spans="1:3">
      <c r="A231">
        <v>90</v>
      </c>
      <c r="B231" s="130" t="str">
        <f>IF(c_LastMonth="","",IF(EDATE(c_LastMonth,1-$A231)&lt;c_FirstMonth,"",EDATE(c_LastMonth,1-$A231)))</f>
        <v/>
      </c>
      <c r="C231" t="str">
        <f>IF($B231="","",CHOOSE(MONTH($B231),"Январь","Февраль","Март","Апрель","Май","Июнь","Июль","Август","Сентябрь","Октябрь","Ноябрь","Декабрь")&amp;" "&amp;YEAR($B231))</f>
        <v/>
      </c>
    </row>
    <row r="232" spans="1:3">
      <c r="A232">
        <v>91</v>
      </c>
      <c r="B232" s="130" t="str">
        <f>IF(c_LastMonth="","",IF(EDATE(c_LastMonth,1-$A232)&lt;c_FirstMonth,"",EDATE(c_LastMonth,1-$A232)))</f>
        <v/>
      </c>
      <c r="C232" t="str">
        <f>IF($B232="","",CHOOSE(MONTH($B232),"Январь","Февраль","Март","Апрель","Май","Июнь","Июль","Август","Сентябрь","Октябрь","Ноябрь","Декабрь")&amp;" "&amp;YEAR($B232))</f>
        <v/>
      </c>
    </row>
    <row r="233" spans="1:3">
      <c r="A233">
        <v>92</v>
      </c>
      <c r="B233" s="130" t="str">
        <f>IF(c_LastMonth="","",IF(EDATE(c_LastMonth,1-$A233)&lt;c_FirstMonth,"",EDATE(c_LastMonth,1-$A233)))</f>
        <v/>
      </c>
      <c r="C233" t="str">
        <f>IF($B233="","",CHOOSE(MONTH($B233),"Январь","Февраль","Март","Апрель","Май","Июнь","Июль","Август","Сентябрь","Октябрь","Ноябрь","Декабрь")&amp;" "&amp;YEAR($B233))</f>
        <v/>
      </c>
    </row>
    <row r="234" spans="1:3">
      <c r="A234">
        <v>93</v>
      </c>
      <c r="B234" s="130" t="str">
        <f>IF(c_LastMonth="","",IF(EDATE(c_LastMonth,1-$A234)&lt;c_FirstMonth,"",EDATE(c_LastMonth,1-$A234)))</f>
        <v/>
      </c>
      <c r="C234" t="str">
        <f>IF($B234="","",CHOOSE(MONTH($B234),"Январь","Февраль","Март","Апрель","Май","Июнь","Июль","Август","Сентябрь","Октябрь","Ноябрь","Декабрь")&amp;" "&amp;YEAR($B234))</f>
        <v/>
      </c>
    </row>
    <row r="235" spans="1:3">
      <c r="A235">
        <v>94</v>
      </c>
      <c r="B235" s="130" t="str">
        <f>IF(c_LastMonth="","",IF(EDATE(c_LastMonth,1-$A235)&lt;c_FirstMonth,"",EDATE(c_LastMonth,1-$A235)))</f>
        <v/>
      </c>
      <c r="C235" t="str">
        <f>IF($B235="","",CHOOSE(MONTH($B235),"Январь","Февраль","Март","Апрель","Май","Июнь","Июль","Август","Сентябрь","Октябрь","Ноябрь","Декабрь")&amp;" "&amp;YEAR($B235))</f>
        <v/>
      </c>
    </row>
    <row r="236" spans="1:3">
      <c r="A236">
        <v>95</v>
      </c>
      <c r="B236" s="130" t="str">
        <f>IF(c_LastMonth="","",IF(EDATE(c_LastMonth,1-$A236)&lt;c_FirstMonth,"",EDATE(c_LastMonth,1-$A236)))</f>
        <v/>
      </c>
      <c r="C236" t="str">
        <f>IF($B236="","",CHOOSE(MONTH($B236),"Январь","Февраль","Март","Апрель","Май","Июнь","Июль","Август","Сентябрь","Октябрь","Ноябрь","Декабрь")&amp;" "&amp;YEAR($B236))</f>
        <v/>
      </c>
    </row>
    <row r="237" spans="1:3">
      <c r="A237">
        <v>96</v>
      </c>
      <c r="B237" s="130" t="str">
        <f>IF(c_LastMonth="","",IF(EDATE(c_LastMonth,1-$A237)&lt;c_FirstMonth,"",EDATE(c_LastMonth,1-$A237)))</f>
        <v/>
      </c>
      <c r="C237" t="str">
        <f>IF($B237="","",CHOOSE(MONTH($B237),"Январь","Февраль","Март","Апрель","Май","Июнь","Июль","Август","Сентябрь","Октябрь","Ноябрь","Декабрь")&amp;" "&amp;YEAR($B237))</f>
        <v/>
      </c>
    </row>
    <row r="238" spans="1:3">
      <c r="A238">
        <v>97</v>
      </c>
      <c r="B238" s="130" t="str">
        <f>IF(c_LastMonth="","",IF(EDATE(c_LastMonth,1-$A238)&lt;c_FirstMonth,"",EDATE(c_LastMonth,1-$A238)))</f>
        <v/>
      </c>
      <c r="C238" t="str">
        <f>IF($B238="","",CHOOSE(MONTH($B238),"Январь","Февраль","Март","Апрель","Май","Июнь","Июль","Август","Сентябрь","Октябрь","Ноябрь","Декабрь")&amp;" "&amp;YEAR($B238))</f>
        <v/>
      </c>
    </row>
    <row r="239" spans="1:3">
      <c r="A239">
        <v>98</v>
      </c>
      <c r="B239" s="130" t="str">
        <f>IF(c_LastMonth="","",IF(EDATE(c_LastMonth,1-$A239)&lt;c_FirstMonth,"",EDATE(c_LastMonth,1-$A239)))</f>
        <v/>
      </c>
      <c r="C239" t="str">
        <f>IF($B239="","",CHOOSE(MONTH($B239),"Январь","Февраль","Март","Апрель","Май","Июнь","Июль","Август","Сентябрь","Октябрь","Ноябрь","Декабрь")&amp;" "&amp;YEAR($B239))</f>
        <v/>
      </c>
    </row>
    <row r="240" spans="1:3">
      <c r="A240">
        <v>99</v>
      </c>
      <c r="B240" s="130" t="str">
        <f>IF(c_LastMonth="","",IF(EDATE(c_LastMonth,1-$A240)&lt;c_FirstMonth,"",EDATE(c_LastMonth,1-$A240)))</f>
        <v/>
      </c>
      <c r="C240" t="str">
        <f>IF($B240="","",CHOOSE(MONTH($B240),"Январь","Февраль","Март","Апрель","Май","Июнь","Июль","Август","Сентябрь","Октябрь","Ноябрь","Декабрь")&amp;" "&amp;YEAR($B240))</f>
        <v/>
      </c>
    </row>
    <row r="241" spans="1:3">
      <c r="A241">
        <v>100</v>
      </c>
      <c r="B241" s="130" t="str">
        <f>IF(c_LastMonth="","",IF(EDATE(c_LastMonth,1-$A241)&lt;c_FirstMonth,"",EDATE(c_LastMonth,1-$A241)))</f>
        <v/>
      </c>
      <c r="C241" t="str">
        <f>IF($B241="","",CHOOSE(MONTH($B241),"Январь","Февраль","Март","Апрель","Май","Июнь","Июль","Август","Сентябрь","Октябрь","Ноябрь","Декабрь")&amp;" "&amp;YEAR($B241))</f>
        <v/>
      </c>
    </row>
    <row r="242" spans="1:3">
      <c r="A242">
        <v>101</v>
      </c>
      <c r="B242" s="130" t="str">
        <f>IF(c_LastMonth="","",IF(EDATE(c_LastMonth,1-$A242)&lt;c_FirstMonth,"",EDATE(c_LastMonth,1-$A242)))</f>
        <v/>
      </c>
      <c r="C242" t="str">
        <f>IF($B242="","",CHOOSE(MONTH($B242),"Январь","Февраль","Март","Апрель","Май","Июнь","Июль","Август","Сентябрь","Октябрь","Ноябрь","Декабрь")&amp;" "&amp;YEAR($B242))</f>
        <v/>
      </c>
    </row>
    <row r="243" spans="1:3">
      <c r="A243">
        <v>102</v>
      </c>
      <c r="B243" s="130" t="str">
        <f>IF(c_LastMonth="","",IF(EDATE(c_LastMonth,1-$A243)&lt;c_FirstMonth,"",EDATE(c_LastMonth,1-$A243)))</f>
        <v/>
      </c>
      <c r="C243" t="str">
        <f>IF($B243="","",CHOOSE(MONTH($B243),"Январь","Февраль","Март","Апрель","Май","Июнь","Июль","Август","Сентябрь","Октябрь","Ноябрь","Декабрь")&amp;" "&amp;YEAR($B243))</f>
        <v/>
      </c>
    </row>
    <row r="244" spans="1:3">
      <c r="A244">
        <v>103</v>
      </c>
      <c r="B244" s="130" t="str">
        <f>IF(c_LastMonth="","",IF(EDATE(c_LastMonth,1-$A244)&lt;c_FirstMonth,"",EDATE(c_LastMonth,1-$A244)))</f>
        <v/>
      </c>
      <c r="C244" t="str">
        <f>IF($B244="","",CHOOSE(MONTH($B244),"Январь","Февраль","Март","Апрель","Май","Июнь","Июль","Август","Сентябрь","Октябрь","Ноябрь","Декабрь")&amp;" "&amp;YEAR($B244))</f>
        <v/>
      </c>
    </row>
    <row r="245" spans="1:3">
      <c r="A245">
        <v>104</v>
      </c>
      <c r="B245" s="130" t="str">
        <f>IF(c_LastMonth="","",IF(EDATE(c_LastMonth,1-$A245)&lt;c_FirstMonth,"",EDATE(c_LastMonth,1-$A245)))</f>
        <v/>
      </c>
      <c r="C245" t="str">
        <f>IF($B245="","",CHOOSE(MONTH($B245),"Январь","Февраль","Март","Апрель","Май","Июнь","Июль","Август","Сентябрь","Октябрь","Ноябрь","Декабрь")&amp;" "&amp;YEAR($B245))</f>
        <v/>
      </c>
    </row>
    <row r="246" spans="1:3">
      <c r="A246">
        <v>105</v>
      </c>
      <c r="B246" s="130" t="str">
        <f>IF(c_LastMonth="","",IF(EDATE(c_LastMonth,1-$A246)&lt;c_FirstMonth,"",EDATE(c_LastMonth,1-$A246)))</f>
        <v/>
      </c>
      <c r="C246" t="str">
        <f>IF($B246="","",CHOOSE(MONTH($B246),"Январь","Февраль","Март","Апрель","Май","Июнь","Июль","Август","Сентябрь","Октябрь","Ноябрь","Декабрь")&amp;" "&amp;YEAR($B246))</f>
        <v/>
      </c>
    </row>
    <row r="247" spans="1:3">
      <c r="A247">
        <v>106</v>
      </c>
      <c r="B247" s="130" t="str">
        <f>IF(c_LastMonth="","",IF(EDATE(c_LastMonth,1-$A247)&lt;c_FirstMonth,"",EDATE(c_LastMonth,1-$A247)))</f>
        <v/>
      </c>
      <c r="C247" t="str">
        <f>IF($B247="","",CHOOSE(MONTH($B247),"Январь","Февраль","Март","Апрель","Май","Июнь","Июль","Август","Сентябрь","Октябрь","Ноябрь","Декабрь")&amp;" "&amp;YEAR($B247))</f>
        <v/>
      </c>
    </row>
    <row r="248" spans="1:3">
      <c r="A248">
        <v>107</v>
      </c>
      <c r="B248" s="130" t="str">
        <f>IF(c_LastMonth="","",IF(EDATE(c_LastMonth,1-$A248)&lt;c_FirstMonth,"",EDATE(c_LastMonth,1-$A248)))</f>
        <v/>
      </c>
      <c r="C248" t="str">
        <f>IF($B248="","",CHOOSE(MONTH($B248),"Январь","Февраль","Март","Апрель","Май","Июнь","Июль","Август","Сентябрь","Октябрь","Ноябрь","Декабрь")&amp;" "&amp;YEAR($B248))</f>
        <v/>
      </c>
    </row>
    <row r="249" spans="1:3">
      <c r="A249">
        <v>108</v>
      </c>
      <c r="B249" s="130" t="str">
        <f>IF(c_LastMonth="","",IF(EDATE(c_LastMonth,1-$A249)&lt;c_FirstMonth,"",EDATE(c_LastMonth,1-$A249)))</f>
        <v/>
      </c>
      <c r="C249" t="str">
        <f>IF($B249="","",CHOOSE(MONTH($B249),"Январь","Февраль","Март","Апрель","Май","Июнь","Июль","Август","Сентябрь","Октябрь","Ноябрь","Декабрь")&amp;" "&amp;YEAR($B249))</f>
        <v/>
      </c>
    </row>
    <row r="250" spans="1:3">
      <c r="A250">
        <v>109</v>
      </c>
      <c r="B250" s="130" t="str">
        <f>IF(c_LastMonth="","",IF(EDATE(c_LastMonth,1-$A250)&lt;c_FirstMonth,"",EDATE(c_LastMonth,1-$A250)))</f>
        <v/>
      </c>
      <c r="C250" t="str">
        <f>IF($B250="","",CHOOSE(MONTH($B250),"Январь","Февраль","Март","Апрель","Май","Июнь","Июль","Август","Сентябрь","Октябрь","Ноябрь","Декабрь")&amp;" "&amp;YEAR($B250))</f>
        <v/>
      </c>
    </row>
    <row r="251" spans="1:3">
      <c r="A251">
        <v>110</v>
      </c>
      <c r="B251" s="130" t="str">
        <f>IF(c_LastMonth="","",IF(EDATE(c_LastMonth,1-$A251)&lt;c_FirstMonth,"",EDATE(c_LastMonth,1-$A251)))</f>
        <v/>
      </c>
      <c r="C251" t="str">
        <f>IF($B251="","",CHOOSE(MONTH($B251),"Январь","Февраль","Март","Апрель","Май","Июнь","Июль","Август","Сентябрь","Октябрь","Ноябрь","Декабрь")&amp;" "&amp;YEAR($B251))</f>
        <v/>
      </c>
    </row>
    <row r="252" spans="1:3">
      <c r="A252">
        <v>111</v>
      </c>
      <c r="B252" s="130" t="str">
        <f>IF(c_LastMonth="","",IF(EDATE(c_LastMonth,1-$A252)&lt;c_FirstMonth,"",EDATE(c_LastMonth,1-$A252)))</f>
        <v/>
      </c>
      <c r="C252" t="str">
        <f>IF($B252="","",CHOOSE(MONTH($B252),"Январь","Февраль","Март","Апрель","Май","Июнь","Июль","Август","Сентябрь","Октябрь","Ноябрь","Декабрь")&amp;" "&amp;YEAR($B252))</f>
        <v/>
      </c>
    </row>
    <row r="253" spans="1:3">
      <c r="A253">
        <v>112</v>
      </c>
      <c r="B253" s="130" t="str">
        <f>IF(c_LastMonth="","",IF(EDATE(c_LastMonth,1-$A253)&lt;c_FirstMonth,"",EDATE(c_LastMonth,1-$A253)))</f>
        <v/>
      </c>
      <c r="C253" t="str">
        <f>IF($B253="","",CHOOSE(MONTH($B253),"Январь","Февраль","Март","Апрель","Май","Июнь","Июль","Август","Сентябрь","Октябрь","Ноябрь","Декабрь")&amp;" "&amp;YEAR($B253))</f>
        <v/>
      </c>
    </row>
    <row r="254" spans="1:3">
      <c r="A254">
        <v>113</v>
      </c>
      <c r="B254" s="130" t="str">
        <f>IF(c_LastMonth="","",IF(EDATE(c_LastMonth,1-$A254)&lt;c_FirstMonth,"",EDATE(c_LastMonth,1-$A254)))</f>
        <v/>
      </c>
      <c r="C254" t="str">
        <f>IF($B254="","",CHOOSE(MONTH($B254),"Январь","Февраль","Март","Апрель","Май","Июнь","Июль","Август","Сентябрь","Октябрь","Ноябрь","Декабрь")&amp;" "&amp;YEAR($B254))</f>
        <v/>
      </c>
    </row>
    <row r="255" spans="1:3">
      <c r="A255">
        <v>114</v>
      </c>
      <c r="B255" s="130" t="str">
        <f>IF(c_LastMonth="","",IF(EDATE(c_LastMonth,1-$A255)&lt;c_FirstMonth,"",EDATE(c_LastMonth,1-$A255)))</f>
        <v/>
      </c>
      <c r="C255" t="str">
        <f>IF($B255="","",CHOOSE(MONTH($B255),"Январь","Февраль","Март","Апрель","Май","Июнь","Июль","Август","Сентябрь","Октябрь","Ноябрь","Декабрь")&amp;" "&amp;YEAR($B255))</f>
        <v/>
      </c>
    </row>
    <row r="256" spans="1:3">
      <c r="A256">
        <v>115</v>
      </c>
      <c r="B256" s="130" t="str">
        <f>IF(c_LastMonth="","",IF(EDATE(c_LastMonth,1-$A256)&lt;c_FirstMonth,"",EDATE(c_LastMonth,1-$A256)))</f>
        <v/>
      </c>
      <c r="C256" t="str">
        <f>IF($B256="","",CHOOSE(MONTH($B256),"Январь","Февраль","Март","Апрель","Май","Июнь","Июль","Август","Сентябрь","Октябрь","Ноябрь","Декабрь")&amp;" "&amp;YEAR($B256))</f>
        <v/>
      </c>
    </row>
    <row r="257" spans="1:3">
      <c r="A257">
        <v>116</v>
      </c>
      <c r="B257" s="130" t="str">
        <f>IF(c_LastMonth="","",IF(EDATE(c_LastMonth,1-$A257)&lt;c_FirstMonth,"",EDATE(c_LastMonth,1-$A257)))</f>
        <v/>
      </c>
      <c r="C257" t="str">
        <f>IF($B257="","",CHOOSE(MONTH($B257),"Январь","Февраль","Март","Апрель","Май","Июнь","Июль","Август","Сентябрь","Октябрь","Ноябрь","Декабрь")&amp;" "&amp;YEAR($B257))</f>
        <v/>
      </c>
    </row>
    <row r="258" spans="1:3">
      <c r="A258">
        <v>117</v>
      </c>
      <c r="B258" s="130" t="str">
        <f>IF(c_LastMonth="","",IF(EDATE(c_LastMonth,1-$A258)&lt;c_FirstMonth,"",EDATE(c_LastMonth,1-$A258)))</f>
        <v/>
      </c>
      <c r="C258" t="str">
        <f>IF($B258="","",CHOOSE(MONTH($B258),"Январь","Февраль","Март","Апрель","Май","Июнь","Июль","Август","Сентябрь","Октябрь","Ноябрь","Декабрь")&amp;" "&amp;YEAR($B258))</f>
        <v/>
      </c>
    </row>
    <row r="259" spans="1:3">
      <c r="A259">
        <v>118</v>
      </c>
      <c r="B259" s="130" t="str">
        <f>IF(c_LastMonth="","",IF(EDATE(c_LastMonth,1-$A259)&lt;c_FirstMonth,"",EDATE(c_LastMonth,1-$A259)))</f>
        <v/>
      </c>
      <c r="C259" t="str">
        <f>IF($B259="","",CHOOSE(MONTH($B259),"Январь","Февраль","Март","Апрель","Май","Июнь","Июль","Август","Сентябрь","Октябрь","Ноябрь","Декабрь")&amp;" "&amp;YEAR($B259))</f>
        <v/>
      </c>
    </row>
    <row r="260" spans="1:3">
      <c r="A260">
        <v>119</v>
      </c>
      <c r="B260" s="130" t="str">
        <f>IF(c_LastMonth="","",IF(EDATE(c_LastMonth,1-$A260)&lt;c_FirstMonth,"",EDATE(c_LastMonth,1-$A260)))</f>
        <v/>
      </c>
      <c r="C260" t="str">
        <f>IF($B260="","",CHOOSE(MONTH($B260),"Январь","Февраль","Март","Апрель","Май","Июнь","Июль","Август","Сентябрь","Октябрь","Ноябрь","Декабрь")&amp;" "&amp;YEAR($B260))</f>
        <v/>
      </c>
    </row>
    <row r="261" spans="1:3">
      <c r="A261">
        <v>120</v>
      </c>
      <c r="B261" s="130" t="str">
        <f>IF(c_LastMonth="","",IF(EDATE(c_LastMonth,1-$A261)&lt;c_FirstMonth,"",EDATE(c_LastMonth,1-$A261)))</f>
        <v/>
      </c>
      <c r="C261" t="str">
        <f>IF($B261="","",CHOOSE(MONTH($B261),"Январь","Февраль","Март","Апрель","Май","Июнь","Июль","Август","Сентябрь","Октябрь","Ноябрь","Декабрь")&amp;" "&amp;YEAR($B261))</f>
        <v/>
      </c>
    </row>
    <row r="262" spans="1:3">
      <c r="A262">
        <v>121</v>
      </c>
      <c r="B262" s="130" t="str">
        <f>IF(c_LastMonth="","",IF(EDATE(c_LastMonth,1-$A262)&lt;c_FirstMonth,"",EDATE(c_LastMonth,1-$A262)))</f>
        <v/>
      </c>
      <c r="C262" t="str">
        <f>IF($B262="","",CHOOSE(MONTH($B262),"Январь","Февраль","Март","Апрель","Май","Июнь","Июль","Август","Сентябрь","Октябрь","Ноябрь","Декабрь")&amp;" "&amp;YEAR($B262))</f>
        <v/>
      </c>
    </row>
    <row r="263" spans="1:3">
      <c r="A263">
        <v>122</v>
      </c>
      <c r="B263" s="130" t="str">
        <f>IF(c_LastMonth="","",IF(EDATE(c_LastMonth,1-$A263)&lt;c_FirstMonth,"",EDATE(c_LastMonth,1-$A263)))</f>
        <v/>
      </c>
      <c r="C263" t="str">
        <f>IF($B263="","",CHOOSE(MONTH($B263),"Январь","Февраль","Март","Апрель","Май","Июнь","Июль","Август","Сентябрь","Октябрь","Ноябрь","Декабрь")&amp;" "&amp;YEAR($B263))</f>
        <v/>
      </c>
    </row>
    <row r="264" spans="1:3">
      <c r="A264">
        <v>123</v>
      </c>
      <c r="B264" s="130" t="str">
        <f>IF(c_LastMonth="","",IF(EDATE(c_LastMonth,1-$A264)&lt;c_FirstMonth,"",EDATE(c_LastMonth,1-$A264)))</f>
        <v/>
      </c>
      <c r="C264" t="str">
        <f>IF($B264="","",CHOOSE(MONTH($B264),"Январь","Февраль","Март","Апрель","Май","Июнь","Июль","Август","Сентябрь","Октябрь","Ноябрь","Декабрь")&amp;" "&amp;YEAR($B264))</f>
        <v/>
      </c>
    </row>
    <row r="265" spans="1:3">
      <c r="A265">
        <v>124</v>
      </c>
      <c r="B265" s="130" t="str">
        <f>IF(c_LastMonth="","",IF(EDATE(c_LastMonth,1-$A265)&lt;c_FirstMonth,"",EDATE(c_LastMonth,1-$A265)))</f>
        <v/>
      </c>
      <c r="C265" t="str">
        <f>IF($B265="","",CHOOSE(MONTH($B265),"Январь","Февраль","Март","Апрель","Май","Июнь","Июль","Август","Сентябрь","Октябрь","Ноябрь","Декабрь")&amp;" "&amp;YEAR($B265))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80</vt:i4>
      </vt:variant>
    </vt:vector>
  </HeadingPairs>
  <TitlesOfParts>
    <vt:vector size="88" baseType="lpstr">
      <vt:lpstr>Сводка</vt:lpstr>
      <vt:lpstr>СИКН</vt:lpstr>
      <vt:lpstr>Тренды</vt:lpstr>
      <vt:lpstr>Тревоги</vt:lpstr>
      <vt:lpstr>Отчеты</vt:lpstr>
      <vt:lpstr>Настройки</vt:lpstr>
      <vt:lpstr>БД</vt:lpstr>
      <vt:lpstr>Расчет</vt:lpstr>
      <vt:lpstr>c_AvgVal</vt:lpstr>
      <vt:lpstr>c_CntGreen</vt:lpstr>
      <vt:lpstr>c_CntNoData</vt:lpstr>
      <vt:lpstr>c_CntOver</vt:lpstr>
      <vt:lpstr>c_CntRed</vt:lpstr>
      <vt:lpstr>c_CntValued</vt:lpstr>
      <vt:lpstr>c_CntYellow</vt:lpstr>
      <vt:lpstr>c_DataDate</vt:lpstr>
      <vt:lpstr>c_DefMonth</vt:lpstr>
      <vt:lpstr>c_FirstDate</vt:lpstr>
      <vt:lpstr>c_FirstMonth</vt:lpstr>
      <vt:lpstr>c_Footer</vt:lpstr>
      <vt:lpstr>c_IsCurrent</vt:lpstr>
      <vt:lpstr>c_LastDate</vt:lpstr>
      <vt:lpstr>c_LastMaxDate</vt:lpstr>
      <vt:lpstr>c_LastMonth</vt:lpstr>
      <vt:lpstr>c_LegG</vt:lpstr>
      <vt:lpstr>c_LegR</vt:lpstr>
      <vt:lpstr>c_LegY</vt:lpstr>
      <vt:lpstr>c_LowDate</vt:lpstr>
      <vt:lpstr>c_MaxName</vt:lpstr>
      <vt:lpstr>c_MaxVal</vt:lpstr>
      <vt:lpstr>c_MonthCount</vt:lpstr>
      <vt:lpstr>c_MonthEnd</vt:lpstr>
      <vt:lpstr>c_MonthLabel</vt:lpstr>
      <vt:lpstr>c_MonthStart</vt:lpstr>
      <vt:lpstr>c_ObjCount</vt:lpstr>
      <vt:lpstr>c_RefDate</vt:lpstr>
      <vt:lpstr>c_SelIdx</vt:lpstr>
      <vt:lpstr>c_StaleCount</vt:lpstr>
      <vt:lpstr>c_State</vt:lpstr>
      <vt:lpstr>c_StateSub</vt:lpstr>
      <vt:lpstr>c_StateText</vt:lpstr>
      <vt:lpstr>c_Today</vt:lpstr>
      <vt:lpstr>c_Total</vt:lpstr>
      <vt:lpstr>c_ZoneG</vt:lpstr>
      <vt:lpstr>c_ZoneR</vt:lpstr>
      <vt:lpstr>c_ZoneX</vt:lpstr>
      <vt:lpstr>c_ZoneY</vt:lpstr>
      <vt:lpstr>cfg_Green</vt:lpstr>
      <vt:lpstr>cfg_Limit</vt:lpstr>
      <vt:lpstr>cfg_Role</vt:lpstr>
      <vt:lpstr>cfg_Subtitle</vt:lpstr>
      <vt:lpstr>cfg_Title</vt:lpstr>
      <vt:lpstr>cfg_Yellow</vt:lpstr>
      <vt:lpstr>db_Dates</vt:lpstr>
      <vt:lpstr>db_Groups</vt:lpstr>
      <vt:lpstr>db_N</vt:lpstr>
      <vt:lpstr>db_Names</vt:lpstr>
      <vt:lpstr>db_Vals</vt:lpstr>
      <vt:lpstr>log_C1</vt:lpstr>
      <vt:lpstr>log_C2</vt:lpstr>
      <vt:lpstr>log_C3</vt:lpstr>
      <vt:lpstr>log_C4</vt:lpstr>
      <vt:lpstr>log_C5</vt:lpstr>
      <vt:lpstr>log_C6</vt:lpstr>
      <vt:lpstr>log_C7</vt:lpstr>
      <vt:lpstr>log_C8</vt:lpstr>
      <vt:lpstr>log_C9</vt:lpstr>
      <vt:lpstr>lst_Months</vt:lpstr>
      <vt:lpstr>m_Labels</vt:lpstr>
      <vt:lpstr>m_Starts</vt:lpstr>
      <vt:lpstr>Настройки!Print_Area</vt:lpstr>
      <vt:lpstr>Отчеты!Print_Area</vt:lpstr>
      <vt:lpstr>Сводка!Print_Area</vt:lpstr>
      <vt:lpstr>СИКН!Print_Area</vt:lpstr>
      <vt:lpstr>Тревоги!Print_Area</vt:lpstr>
      <vt:lpstr>Тренды!Print_Area</vt:lpstr>
      <vt:lpstr>sel_Month</vt:lpstr>
      <vt:lpstr>sys_LastFile</vt:lpstr>
      <vt:lpstr>sys_LastImport</vt:lpstr>
      <vt:lpstr>sys_LastMode</vt:lpstr>
      <vt:lpstr>ui_Canvas</vt:lpstr>
      <vt:lpstr>ui_MonthArrow</vt:lpstr>
      <vt:lpstr>ui_Upd_shAlarm</vt:lpstr>
      <vt:lpstr>ui_Upd_shDash</vt:lpstr>
      <vt:lpstr>ui_Upd_shObj</vt:lpstr>
      <vt:lpstr>ui_Upd_shReport</vt:lpstr>
      <vt:lpstr>ui_Upd_shSettings</vt:lpstr>
      <vt:lpstr>ui_Upd_shTrend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ЛХОС по СИКН — дашборд</dc:title>
  <dc:subject>Оперативная сводка</dc:subject>
  <dc:creator/>
  <dc:description>Сформировано генератором build.py</dc:description>
  <cp:lastModifiedBy/>
  <dcterms:created xsi:type="dcterms:W3CDTF">2026-10-07T20:54:14Z</dcterms:created>
  <dcterms:modified xsi:type="dcterms:W3CDTF">2026-10-07T20:54:14Z</dcterms:modified>
</cp:coreProperties>
</file>